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2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a7fdfa7fd5d415b/Desktop/Data Analaysis/Excel/Excel CRM Projects/"/>
    </mc:Choice>
  </mc:AlternateContent>
  <xr:revisionPtr revIDLastSave="1" documentId="8_{FE99A338-301D-467B-8FF1-D8173346105E}" xr6:coauthVersionLast="47" xr6:coauthVersionMax="47" xr10:uidLastSave="{7B92F093-1CC6-4BF7-A475-83511E4FCBB4}"/>
  <bookViews>
    <workbookView xWindow="-98" yWindow="-98" windowWidth="21795" windowHeight="13875" firstSheet="1" activeTab="5" xr2:uid="{00000000-000D-0000-FFFF-FFFF00000000}"/>
  </bookViews>
  <sheets>
    <sheet name="Original_Data" sheetId="8" r:id="rId1"/>
    <sheet name="Missing_Values" sheetId="1" r:id="rId2"/>
    <sheet name="Google_Sales_Corr" sheetId="4" r:id="rId3"/>
    <sheet name="Outlier_Analysis" sheetId="5" r:id="rId4"/>
    <sheet name="Cleaned_Data" sheetId="6" r:id="rId5"/>
    <sheet name="Regression_Plots" sheetId="9" r:id="rId6"/>
    <sheet name="Multiple_Regression" sheetId="7" r:id="rId7"/>
    <sheet name="CLTV" sheetId="10" r:id="rId8"/>
  </sheets>
  <definedNames>
    <definedName name="_xlnm._FilterDatabase" localSheetId="4" hidden="1">Cleaned_Data!$A$1:$H$1</definedName>
    <definedName name="_xlnm._FilterDatabase" localSheetId="2" hidden="1">Google_Sales_Corr!$A$1:$D$201</definedName>
    <definedName name="_xlnm._FilterDatabase" localSheetId="1" hidden="1">Missing_Values!$A$1:$M$201</definedName>
    <definedName name="_xlnm._FilterDatabase" localSheetId="0" hidden="1">Original_Data!$A$1:$G$1</definedName>
    <definedName name="_xlnm._FilterDatabase" localSheetId="3" hidden="1">Outlier_Analysis!$A$1:$M$1</definedName>
    <definedName name="_xlnm._FilterDatabase" localSheetId="5" hidden="1">Regression_Plots!$A$1:$H$1</definedName>
    <definedName name="_xlchart.v1.0" hidden="1">Outlier_Analysis!$J$1</definedName>
    <definedName name="_xlchart.v1.1" hidden="1">Outlier_Analysis!$J$2:$J$201</definedName>
    <definedName name="_xlchart.v1.10" hidden="1">Outlier_Analysis!$L$1</definedName>
    <definedName name="_xlchart.v1.11" hidden="1">Outlier_Analysis!$L$2:$L$201</definedName>
    <definedName name="_xlchart.v1.12" hidden="1">Outlier_Analysis!$J$1</definedName>
    <definedName name="_xlchart.v1.13" hidden="1">Outlier_Analysis!$J$2:$J$201</definedName>
    <definedName name="_xlchart.v1.14" hidden="1">Outlier_Analysis!$K$1</definedName>
    <definedName name="_xlchart.v1.15" hidden="1">Outlier_Analysis!$K$2:$K$201</definedName>
    <definedName name="_xlchart.v1.16" hidden="1">Outlier_Analysis!$I$1</definedName>
    <definedName name="_xlchart.v1.17" hidden="1">Outlier_Analysis!$I$2:$I$201</definedName>
    <definedName name="_xlchart.v1.18" hidden="1">Outlier_Analysis!$J$1</definedName>
    <definedName name="_xlchart.v1.19" hidden="1">Outlier_Analysis!$J$2:$J$201</definedName>
    <definedName name="_xlchart.v1.2" hidden="1">Outlier_Analysis!$K$1</definedName>
    <definedName name="_xlchart.v1.3" hidden="1">Outlier_Analysis!$K$2:$K$201</definedName>
    <definedName name="_xlchart.v1.4" hidden="1">Outlier_Analysis!$L$1</definedName>
    <definedName name="_xlchart.v1.5" hidden="1">Outlier_Analysis!$L$2:$L$201</definedName>
    <definedName name="_xlchart.v1.6" hidden="1">Outlier_Analysis!$M$1</definedName>
    <definedName name="_xlchart.v1.7" hidden="1">Outlier_Analysis!$M$2:$M$201</definedName>
    <definedName name="_xlchart.v1.8" hidden="1">Outlier_Analysis!$K$1</definedName>
    <definedName name="_xlchart.v1.9" hidden="1">Outlier_Analysis!$K$2:$K$201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0" roundtripDataSignature="AMtx7mg9g2RiKlMA5XX8SEvmIwRjj1XEWA=="/>
    </ext>
  </extLst>
</workbook>
</file>

<file path=xl/calcChain.xml><?xml version="1.0" encoding="utf-8"?>
<calcChain xmlns="http://schemas.openxmlformats.org/spreadsheetml/2006/main">
  <c r="B25" i="10" l="1"/>
  <c r="B26" i="10" s="1"/>
  <c r="B27" i="10" s="1"/>
  <c r="B29" i="10" s="1"/>
  <c r="D17" i="10"/>
  <c r="D18" i="10"/>
  <c r="D19" i="10"/>
  <c r="B21" i="10" s="1"/>
  <c r="D16" i="10"/>
  <c r="D11" i="10"/>
  <c r="D12" i="10"/>
  <c r="D10" i="10"/>
  <c r="D9" i="10"/>
  <c r="C12" i="10"/>
  <c r="C11" i="10"/>
  <c r="C10" i="10"/>
  <c r="D32" i="7"/>
  <c r="D31" i="7"/>
  <c r="D30" i="7"/>
  <c r="D29" i="7"/>
  <c r="D28" i="7"/>
  <c r="O5" i="6"/>
  <c r="N9" i="6"/>
  <c r="N8" i="6"/>
  <c r="N7" i="6"/>
  <c r="N6" i="6"/>
  <c r="N5" i="6"/>
  <c r="M9" i="6"/>
  <c r="M8" i="6"/>
  <c r="M7" i="6"/>
  <c r="M6" i="6"/>
  <c r="M5" i="6"/>
  <c r="L9" i="6"/>
  <c r="L8" i="6"/>
  <c r="L7" i="6"/>
  <c r="L6" i="6"/>
  <c r="K5" i="6"/>
  <c r="L5" i="6"/>
  <c r="K9" i="6"/>
  <c r="K8" i="6"/>
  <c r="K7" i="6"/>
  <c r="K6" i="6"/>
  <c r="P9" i="6"/>
  <c r="P8" i="6"/>
  <c r="P7" i="6"/>
  <c r="P6" i="6"/>
  <c r="P5" i="6"/>
  <c r="P4" i="5"/>
  <c r="Q9" i="6"/>
  <c r="Q8" i="6"/>
  <c r="Q7" i="6"/>
  <c r="Q6" i="6"/>
  <c r="Q5" i="6"/>
  <c r="Q8" i="5"/>
  <c r="Q7" i="5"/>
  <c r="Q6" i="5"/>
  <c r="Q5" i="5"/>
  <c r="Q4" i="5"/>
  <c r="P8" i="5"/>
  <c r="P7" i="5"/>
  <c r="P6" i="5"/>
  <c r="P5" i="5"/>
  <c r="D5" i="4"/>
  <c r="D49" i="4"/>
  <c r="D163" i="4"/>
  <c r="D200" i="4"/>
  <c r="D201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6" i="4"/>
  <c r="D4" i="4"/>
  <c r="D2" i="4"/>
  <c r="D3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X22" i="1"/>
  <c r="X21" i="1"/>
  <c r="X20" i="1"/>
  <c r="X19" i="1"/>
  <c r="X18" i="1"/>
  <c r="J2" i="1"/>
  <c r="K2" i="1"/>
  <c r="L2" i="1"/>
  <c r="M5" i="1"/>
  <c r="M4" i="1"/>
  <c r="M3" i="1"/>
  <c r="M2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6" i="1"/>
  <c r="M137" i="1"/>
  <c r="M138" i="1"/>
  <c r="M139" i="1"/>
  <c r="M140" i="1"/>
  <c r="M141" i="1"/>
  <c r="M142" i="1"/>
  <c r="M143" i="1"/>
  <c r="M14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L3" i="1"/>
  <c r="L4" i="1"/>
  <c r="L5" i="1"/>
  <c r="L6" i="1"/>
  <c r="L7" i="1"/>
  <c r="L8" i="1"/>
  <c r="L9" i="1"/>
  <c r="L10" i="1"/>
  <c r="L11" i="1"/>
  <c r="L12" i="1"/>
  <c r="L13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7" i="1"/>
  <c r="L198" i="1"/>
  <c r="L199" i="1"/>
  <c r="L200" i="1"/>
  <c r="L20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J1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V22" i="1"/>
  <c r="V21" i="1"/>
  <c r="V20" i="1"/>
  <c r="V19" i="1"/>
  <c r="V18" i="1"/>
  <c r="U22" i="1"/>
  <c r="U21" i="1"/>
  <c r="L14" i="1" s="1"/>
  <c r="U20" i="1"/>
  <c r="K164" i="1" s="1"/>
  <c r="U19" i="1"/>
  <c r="J129" i="1" s="1"/>
  <c r="U18" i="1"/>
  <c r="T22" i="1"/>
  <c r="T21" i="1"/>
  <c r="T20" i="1"/>
  <c r="T19" i="1"/>
  <c r="T18" i="1"/>
  <c r="P22" i="1"/>
  <c r="R22" i="1" s="1"/>
  <c r="P21" i="1"/>
  <c r="R21" i="1" s="1"/>
  <c r="P20" i="1"/>
  <c r="R20" i="1" s="1"/>
  <c r="P19" i="1"/>
  <c r="R19" i="1" s="1"/>
  <c r="P18" i="1"/>
  <c r="R18" i="1" s="1"/>
  <c r="B201" i="9"/>
  <c r="C200" i="9"/>
  <c r="B33" i="10" l="1"/>
  <c r="B34" i="10" s="1"/>
  <c r="R8" i="6"/>
  <c r="R6" i="6"/>
  <c r="T6" i="6" s="1"/>
  <c r="O8" i="6"/>
  <c r="S8" i="6"/>
  <c r="O7" i="6"/>
  <c r="O9" i="6"/>
  <c r="O6" i="6"/>
  <c r="T8" i="6"/>
  <c r="R5" i="6"/>
  <c r="T5" i="6" s="1"/>
  <c r="R9" i="6"/>
  <c r="S9" i="6" s="1"/>
  <c r="R7" i="6"/>
  <c r="S7" i="6" s="1"/>
  <c r="R6" i="5"/>
  <c r="T6" i="5" s="1"/>
  <c r="R4" i="5"/>
  <c r="S4" i="5" s="1"/>
  <c r="R8" i="5"/>
  <c r="S8" i="5" s="1"/>
  <c r="R5" i="5"/>
  <c r="S5" i="5" s="1"/>
  <c r="R7" i="5"/>
  <c r="S7" i="5" s="1"/>
  <c r="J164" i="1"/>
  <c r="L196" i="1"/>
  <c r="L15" i="1"/>
  <c r="W18" i="1"/>
  <c r="W21" i="1"/>
  <c r="W19" i="1"/>
  <c r="W20" i="1"/>
  <c r="W22" i="1"/>
  <c r="B200" i="9"/>
  <c r="C199" i="9"/>
  <c r="B200" i="8"/>
  <c r="B199" i="8" s="1"/>
  <c r="B198" i="8" s="1"/>
  <c r="B197" i="8" s="1"/>
  <c r="B196" i="8" s="1"/>
  <c r="B195" i="8" s="1"/>
  <c r="B194" i="8" s="1"/>
  <c r="B193" i="8" s="1"/>
  <c r="B192" i="8" s="1"/>
  <c r="B191" i="8" s="1"/>
  <c r="B190" i="8" s="1"/>
  <c r="B189" i="8" s="1"/>
  <c r="B188" i="8" s="1"/>
  <c r="B187" i="8" s="1"/>
  <c r="B186" i="8" s="1"/>
  <c r="B185" i="8" s="1"/>
  <c r="B184" i="8" s="1"/>
  <c r="B183" i="8" s="1"/>
  <c r="B182" i="8" s="1"/>
  <c r="B181" i="8" s="1"/>
  <c r="B180" i="8" s="1"/>
  <c r="B179" i="8" s="1"/>
  <c r="B178" i="8" s="1"/>
  <c r="B177" i="8" s="1"/>
  <c r="B176" i="8" s="1"/>
  <c r="B175" i="8" s="1"/>
  <c r="B174" i="8" s="1"/>
  <c r="B173" i="8" s="1"/>
  <c r="B172" i="8" s="1"/>
  <c r="B171" i="8" s="1"/>
  <c r="B170" i="8" s="1"/>
  <c r="B169" i="8" s="1"/>
  <c r="B168" i="8" s="1"/>
  <c r="B167" i="8" s="1"/>
  <c r="B166" i="8" s="1"/>
  <c r="B165" i="8" s="1"/>
  <c r="B164" i="8" s="1"/>
  <c r="B163" i="8" s="1"/>
  <c r="B162" i="8" s="1"/>
  <c r="B161" i="8" s="1"/>
  <c r="B160" i="8" s="1"/>
  <c r="B159" i="8" s="1"/>
  <c r="B158" i="8" s="1"/>
  <c r="B157" i="8" s="1"/>
  <c r="B156" i="8" s="1"/>
  <c r="B155" i="8" s="1"/>
  <c r="B154" i="8" s="1"/>
  <c r="B153" i="8" s="1"/>
  <c r="B152" i="8" s="1"/>
  <c r="B151" i="8" s="1"/>
  <c r="B150" i="8" s="1"/>
  <c r="B149" i="8" s="1"/>
  <c r="B148" i="8" s="1"/>
  <c r="B147" i="8" s="1"/>
  <c r="B146" i="8" s="1"/>
  <c r="B145" i="8" s="1"/>
  <c r="B144" i="8" s="1"/>
  <c r="B143" i="8" s="1"/>
  <c r="B142" i="8" s="1"/>
  <c r="B141" i="8" s="1"/>
  <c r="B140" i="8" s="1"/>
  <c r="B139" i="8" s="1"/>
  <c r="B138" i="8" s="1"/>
  <c r="B137" i="8" s="1"/>
  <c r="B136" i="8" s="1"/>
  <c r="B135" i="8" s="1"/>
  <c r="B134" i="8" s="1"/>
  <c r="B133" i="8" s="1"/>
  <c r="B132" i="8" s="1"/>
  <c r="B131" i="8" s="1"/>
  <c r="B130" i="8" s="1"/>
  <c r="B129" i="8" s="1"/>
  <c r="B128" i="8" s="1"/>
  <c r="B127" i="8" s="1"/>
  <c r="B126" i="8" s="1"/>
  <c r="B125" i="8" s="1"/>
  <c r="B124" i="8" s="1"/>
  <c r="B123" i="8" s="1"/>
  <c r="B122" i="8" s="1"/>
  <c r="B121" i="8" s="1"/>
  <c r="B120" i="8" s="1"/>
  <c r="B119" i="8" s="1"/>
  <c r="B118" i="8" s="1"/>
  <c r="B117" i="8" s="1"/>
  <c r="B116" i="8" s="1"/>
  <c r="B115" i="8" s="1"/>
  <c r="B114" i="8" s="1"/>
  <c r="B113" i="8" s="1"/>
  <c r="B112" i="8" s="1"/>
  <c r="B111" i="8" s="1"/>
  <c r="B110" i="8" s="1"/>
  <c r="B109" i="8" s="1"/>
  <c r="B108" i="8" s="1"/>
  <c r="B107" i="8" s="1"/>
  <c r="B106" i="8" s="1"/>
  <c r="B105" i="8" s="1"/>
  <c r="B104" i="8" s="1"/>
  <c r="B103" i="8" s="1"/>
  <c r="B102" i="8" s="1"/>
  <c r="B101" i="8" s="1"/>
  <c r="B100" i="8" s="1"/>
  <c r="B99" i="8" s="1"/>
  <c r="B98" i="8" s="1"/>
  <c r="B97" i="8" s="1"/>
  <c r="B96" i="8" s="1"/>
  <c r="B95" i="8" s="1"/>
  <c r="B94" i="8" s="1"/>
  <c r="B93" i="8" s="1"/>
  <c r="B92" i="8" s="1"/>
  <c r="B91" i="8" s="1"/>
  <c r="B90" i="8" s="1"/>
  <c r="B89" i="8" s="1"/>
  <c r="B88" i="8" s="1"/>
  <c r="B87" i="8" s="1"/>
  <c r="B86" i="8" s="1"/>
  <c r="B85" i="8" s="1"/>
  <c r="B84" i="8" s="1"/>
  <c r="B83" i="8" s="1"/>
  <c r="B82" i="8" s="1"/>
  <c r="B81" i="8" s="1"/>
  <c r="B80" i="8" s="1"/>
  <c r="B79" i="8" s="1"/>
  <c r="B78" i="8" s="1"/>
  <c r="B77" i="8" s="1"/>
  <c r="B76" i="8" s="1"/>
  <c r="B75" i="8" s="1"/>
  <c r="B74" i="8" s="1"/>
  <c r="B73" i="8" s="1"/>
  <c r="B72" i="8" s="1"/>
  <c r="B71" i="8" s="1"/>
  <c r="B70" i="8" s="1"/>
  <c r="B69" i="8" s="1"/>
  <c r="B68" i="8" s="1"/>
  <c r="B67" i="8" s="1"/>
  <c r="B66" i="8" s="1"/>
  <c r="B65" i="8" s="1"/>
  <c r="B64" i="8" s="1"/>
  <c r="B63" i="8" s="1"/>
  <c r="B62" i="8" s="1"/>
  <c r="B61" i="8" s="1"/>
  <c r="B60" i="8" s="1"/>
  <c r="B59" i="8" s="1"/>
  <c r="B58" i="8" s="1"/>
  <c r="B57" i="8" s="1"/>
  <c r="B56" i="8" s="1"/>
  <c r="B55" i="8" s="1"/>
  <c r="B54" i="8" s="1"/>
  <c r="B53" i="8" s="1"/>
  <c r="B52" i="8" s="1"/>
  <c r="B51" i="8" s="1"/>
  <c r="B50" i="8" s="1"/>
  <c r="B49" i="8" s="1"/>
  <c r="B48" i="8" s="1"/>
  <c r="B47" i="8" s="1"/>
  <c r="B46" i="8" s="1"/>
  <c r="B45" i="8" s="1"/>
  <c r="B44" i="8" s="1"/>
  <c r="B43" i="8" s="1"/>
  <c r="B42" i="8" s="1"/>
  <c r="B41" i="8" s="1"/>
  <c r="B40" i="8" s="1"/>
  <c r="B39" i="8" s="1"/>
  <c r="B38" i="8" s="1"/>
  <c r="B37" i="8" s="1"/>
  <c r="B36" i="8" s="1"/>
  <c r="B35" i="8" s="1"/>
  <c r="B34" i="8" s="1"/>
  <c r="B33" i="8" s="1"/>
  <c r="B32" i="8" s="1"/>
  <c r="B31" i="8" s="1"/>
  <c r="B30" i="8" s="1"/>
  <c r="B29" i="8" s="1"/>
  <c r="B28" i="8" s="1"/>
  <c r="B27" i="8" s="1"/>
  <c r="B26" i="8" s="1"/>
  <c r="B25" i="8" s="1"/>
  <c r="B24" i="8" s="1"/>
  <c r="B23" i="8" s="1"/>
  <c r="B22" i="8" s="1"/>
  <c r="B21" i="8" s="1"/>
  <c r="B20" i="8" s="1"/>
  <c r="B19" i="8" s="1"/>
  <c r="B18" i="8" s="1"/>
  <c r="B17" i="8" s="1"/>
  <c r="B16" i="8" s="1"/>
  <c r="B15" i="8" s="1"/>
  <c r="B14" i="8" s="1"/>
  <c r="B13" i="8" s="1"/>
  <c r="B12" i="8" s="1"/>
  <c r="B11" i="8" s="1"/>
  <c r="B10" i="8" s="1"/>
  <c r="B9" i="8" s="1"/>
  <c r="B8" i="8" s="1"/>
  <c r="B7" i="8" s="1"/>
  <c r="B6" i="8" s="1"/>
  <c r="B5" i="8" s="1"/>
  <c r="B4" i="8" s="1"/>
  <c r="B3" i="8" s="1"/>
  <c r="B2" i="8" s="1"/>
  <c r="B201" i="6"/>
  <c r="C200" i="6"/>
  <c r="B200" i="6" s="1"/>
  <c r="B201" i="5"/>
  <c r="B201" i="1"/>
  <c r="S6" i="6" l="1"/>
  <c r="S5" i="6"/>
  <c r="T7" i="6"/>
  <c r="T9" i="6"/>
  <c r="T4" i="5"/>
  <c r="I191" i="5" s="1"/>
  <c r="K17" i="5"/>
  <c r="K35" i="5"/>
  <c r="K53" i="5"/>
  <c r="K71" i="5"/>
  <c r="K89" i="5"/>
  <c r="K107" i="5"/>
  <c r="K125" i="5"/>
  <c r="K143" i="5"/>
  <c r="K161" i="5"/>
  <c r="K179" i="5"/>
  <c r="K197" i="5"/>
  <c r="K37" i="5"/>
  <c r="K127" i="5"/>
  <c r="K199" i="5"/>
  <c r="K56" i="5"/>
  <c r="K110" i="5"/>
  <c r="K146" i="5"/>
  <c r="K164" i="5"/>
  <c r="K200" i="5"/>
  <c r="K21" i="5"/>
  <c r="K57" i="5"/>
  <c r="K93" i="5"/>
  <c r="K129" i="5"/>
  <c r="K165" i="5"/>
  <c r="K201" i="5"/>
  <c r="K4" i="5"/>
  <c r="K40" i="5"/>
  <c r="K18" i="5"/>
  <c r="K36" i="5"/>
  <c r="K54" i="5"/>
  <c r="K72" i="5"/>
  <c r="K90" i="5"/>
  <c r="K108" i="5"/>
  <c r="K126" i="5"/>
  <c r="K144" i="5"/>
  <c r="K162" i="5"/>
  <c r="K180" i="5"/>
  <c r="K198" i="5"/>
  <c r="K19" i="5"/>
  <c r="K55" i="5"/>
  <c r="K73" i="5"/>
  <c r="K91" i="5"/>
  <c r="K109" i="5"/>
  <c r="K145" i="5"/>
  <c r="K163" i="5"/>
  <c r="K181" i="5"/>
  <c r="K20" i="5"/>
  <c r="K38" i="5"/>
  <c r="K74" i="5"/>
  <c r="K92" i="5"/>
  <c r="K128" i="5"/>
  <c r="K182" i="5"/>
  <c r="K3" i="5"/>
  <c r="K39" i="5"/>
  <c r="K75" i="5"/>
  <c r="K111" i="5"/>
  <c r="K147" i="5"/>
  <c r="K183" i="5"/>
  <c r="K22" i="5"/>
  <c r="K58" i="5"/>
  <c r="K94" i="5"/>
  <c r="K112" i="5"/>
  <c r="K130" i="5"/>
  <c r="K10" i="5"/>
  <c r="K34" i="5"/>
  <c r="K64" i="5"/>
  <c r="K87" i="5"/>
  <c r="K117" i="5"/>
  <c r="K141" i="5"/>
  <c r="K169" i="5"/>
  <c r="K192" i="5"/>
  <c r="K11" i="5"/>
  <c r="K41" i="5"/>
  <c r="K65" i="5"/>
  <c r="K88" i="5"/>
  <c r="K118" i="5"/>
  <c r="K142" i="5"/>
  <c r="K170" i="5"/>
  <c r="K193" i="5"/>
  <c r="K172" i="5"/>
  <c r="K14" i="5"/>
  <c r="K68" i="5"/>
  <c r="K121" i="5"/>
  <c r="K173" i="5"/>
  <c r="K45" i="5"/>
  <c r="K69" i="5"/>
  <c r="K122" i="5"/>
  <c r="K151" i="5"/>
  <c r="K2" i="5"/>
  <c r="K46" i="5"/>
  <c r="K123" i="5"/>
  <c r="K12" i="5"/>
  <c r="K42" i="5"/>
  <c r="K66" i="5"/>
  <c r="K95" i="5"/>
  <c r="K119" i="5"/>
  <c r="K148" i="5"/>
  <c r="K171" i="5"/>
  <c r="K194" i="5"/>
  <c r="K13" i="5"/>
  <c r="K43" i="5"/>
  <c r="K67" i="5"/>
  <c r="K96" i="5"/>
  <c r="K120" i="5"/>
  <c r="K149" i="5"/>
  <c r="K195" i="5"/>
  <c r="K44" i="5"/>
  <c r="K97" i="5"/>
  <c r="K150" i="5"/>
  <c r="K196" i="5"/>
  <c r="K15" i="5"/>
  <c r="K98" i="5"/>
  <c r="K174" i="5"/>
  <c r="K16" i="5"/>
  <c r="K70" i="5"/>
  <c r="K99" i="5"/>
  <c r="K152" i="5"/>
  <c r="K175" i="5"/>
  <c r="K9" i="5"/>
  <c r="K59" i="5"/>
  <c r="K102" i="5"/>
  <c r="K139" i="5"/>
  <c r="K186" i="5"/>
  <c r="K23" i="5"/>
  <c r="K60" i="5"/>
  <c r="K103" i="5"/>
  <c r="K140" i="5"/>
  <c r="K187" i="5"/>
  <c r="K189" i="5"/>
  <c r="K26" i="5"/>
  <c r="K63" i="5"/>
  <c r="K155" i="5"/>
  <c r="K190" i="5"/>
  <c r="K27" i="5"/>
  <c r="K76" i="5"/>
  <c r="K156" i="5"/>
  <c r="K191" i="5"/>
  <c r="K77" i="5"/>
  <c r="K114" i="5"/>
  <c r="K157" i="5"/>
  <c r="K29" i="5"/>
  <c r="K78" i="5"/>
  <c r="K115" i="5"/>
  <c r="K158" i="5"/>
  <c r="K30" i="5"/>
  <c r="K79" i="5"/>
  <c r="K116" i="5"/>
  <c r="K159" i="5"/>
  <c r="K32" i="5"/>
  <c r="K81" i="5"/>
  <c r="K131" i="5"/>
  <c r="K166" i="5"/>
  <c r="K47" i="5"/>
  <c r="K83" i="5"/>
  <c r="K133" i="5"/>
  <c r="K49" i="5"/>
  <c r="K135" i="5"/>
  <c r="K101" i="5"/>
  <c r="K168" i="5"/>
  <c r="K48" i="5"/>
  <c r="K84" i="5"/>
  <c r="K134" i="5"/>
  <c r="K24" i="5"/>
  <c r="K61" i="5"/>
  <c r="K104" i="5"/>
  <c r="K153" i="5"/>
  <c r="K188" i="5"/>
  <c r="K25" i="5"/>
  <c r="K62" i="5"/>
  <c r="K105" i="5"/>
  <c r="K154" i="5"/>
  <c r="K106" i="5"/>
  <c r="K113" i="5"/>
  <c r="K28" i="5"/>
  <c r="K31" i="5"/>
  <c r="K80" i="5"/>
  <c r="K124" i="5"/>
  <c r="K160" i="5"/>
  <c r="K33" i="5"/>
  <c r="K82" i="5"/>
  <c r="K132" i="5"/>
  <c r="K167" i="5"/>
  <c r="K176" i="5"/>
  <c r="K5" i="5"/>
  <c r="K85" i="5"/>
  <c r="K177" i="5"/>
  <c r="K6" i="5"/>
  <c r="K50" i="5"/>
  <c r="K86" i="5"/>
  <c r="K136" i="5"/>
  <c r="K178" i="5"/>
  <c r="K7" i="5"/>
  <c r="K51" i="5"/>
  <c r="K100" i="5"/>
  <c r="K137" i="5"/>
  <c r="K184" i="5"/>
  <c r="K8" i="5"/>
  <c r="K52" i="5"/>
  <c r="K138" i="5"/>
  <c r="K185" i="5"/>
  <c r="S6" i="5"/>
  <c r="T8" i="5"/>
  <c r="I101" i="5"/>
  <c r="I119" i="5"/>
  <c r="I137" i="5"/>
  <c r="I155" i="5"/>
  <c r="I173" i="5"/>
  <c r="I4" i="5"/>
  <c r="I24" i="5"/>
  <c r="I44" i="5"/>
  <c r="I64" i="5"/>
  <c r="I86" i="5"/>
  <c r="I167" i="5"/>
  <c r="I187" i="5"/>
  <c r="I6" i="5"/>
  <c r="I26" i="5"/>
  <c r="I46" i="5"/>
  <c r="I170" i="5"/>
  <c r="I195" i="5"/>
  <c r="I23" i="5"/>
  <c r="I51" i="5"/>
  <c r="I74" i="5"/>
  <c r="I197" i="5"/>
  <c r="I28" i="5"/>
  <c r="I53" i="5"/>
  <c r="I76" i="5"/>
  <c r="I99" i="5"/>
  <c r="I124" i="5"/>
  <c r="I7" i="5"/>
  <c r="I32" i="5"/>
  <c r="I55" i="5"/>
  <c r="I78" i="5"/>
  <c r="I102" i="5"/>
  <c r="I129" i="5"/>
  <c r="I34" i="5"/>
  <c r="I57" i="5"/>
  <c r="I80" i="5"/>
  <c r="I105" i="5"/>
  <c r="I131" i="5"/>
  <c r="I48" i="5"/>
  <c r="I93" i="5"/>
  <c r="I138" i="5"/>
  <c r="I183" i="5"/>
  <c r="I14" i="5"/>
  <c r="I142" i="5"/>
  <c r="I189" i="5"/>
  <c r="I17" i="5"/>
  <c r="I61" i="5"/>
  <c r="I110" i="5"/>
  <c r="I143" i="5"/>
  <c r="I113" i="5"/>
  <c r="I159" i="5"/>
  <c r="I35" i="5"/>
  <c r="I71" i="5"/>
  <c r="I115" i="5"/>
  <c r="I161" i="5"/>
  <c r="I169" i="5"/>
  <c r="I20" i="5"/>
  <c r="I21" i="5"/>
  <c r="I70" i="5"/>
  <c r="I114" i="5"/>
  <c r="I160" i="5"/>
  <c r="T5" i="5"/>
  <c r="J4" i="5" s="1"/>
  <c r="T7" i="5"/>
  <c r="B199" i="9"/>
  <c r="C198" i="9"/>
  <c r="C199" i="6"/>
  <c r="C198" i="6" s="1"/>
  <c r="C197" i="6" s="1"/>
  <c r="I144" i="5" l="1"/>
  <c r="I89" i="5"/>
  <c r="I127" i="5"/>
  <c r="I165" i="5"/>
  <c r="I178" i="5"/>
  <c r="I157" i="5"/>
  <c r="I132" i="5"/>
  <c r="I16" i="5"/>
  <c r="I123" i="5"/>
  <c r="I73" i="5"/>
  <c r="I87" i="5"/>
  <c r="I139" i="5"/>
  <c r="I29" i="5"/>
  <c r="I90" i="5"/>
  <c r="I39" i="5"/>
  <c r="I112" i="5"/>
  <c r="I185" i="5"/>
  <c r="I43" i="5"/>
  <c r="I130" i="5"/>
  <c r="I125" i="5"/>
  <c r="I98" i="5"/>
  <c r="I50" i="5"/>
  <c r="I66" i="5"/>
  <c r="I121" i="5"/>
  <c r="I11" i="5"/>
  <c r="I41" i="5"/>
  <c r="I164" i="5"/>
  <c r="I63" i="5"/>
  <c r="I141" i="5"/>
  <c r="I10" i="5"/>
  <c r="I104" i="5"/>
  <c r="I100" i="5"/>
  <c r="I75" i="5"/>
  <c r="I22" i="5"/>
  <c r="I45" i="5"/>
  <c r="I103" i="5"/>
  <c r="I67" i="5"/>
  <c r="I182" i="5"/>
  <c r="I175" i="5"/>
  <c r="I194" i="5"/>
  <c r="I176" i="5"/>
  <c r="I149" i="5"/>
  <c r="I47" i="5"/>
  <c r="I153" i="5"/>
  <c r="I133" i="5"/>
  <c r="I19" i="5"/>
  <c r="I79" i="5"/>
  <c r="I188" i="5"/>
  <c r="I40" i="5"/>
  <c r="I59" i="5"/>
  <c r="I54" i="5"/>
  <c r="I5" i="5"/>
  <c r="I38" i="5"/>
  <c r="I15" i="5"/>
  <c r="I33" i="5"/>
  <c r="I148" i="5"/>
  <c r="I49" i="5"/>
  <c r="I111" i="5"/>
  <c r="I8" i="5"/>
  <c r="I128" i="5"/>
  <c r="I116" i="5"/>
  <c r="I62" i="5"/>
  <c r="I140" i="5"/>
  <c r="I2" i="5"/>
  <c r="I200" i="5"/>
  <c r="I198" i="5"/>
  <c r="I145" i="5"/>
  <c r="I108" i="5"/>
  <c r="I146" i="5"/>
  <c r="I13" i="5"/>
  <c r="I69" i="5"/>
  <c r="I120" i="5"/>
  <c r="I60" i="5"/>
  <c r="I96" i="5"/>
  <c r="I151" i="5"/>
  <c r="I118" i="5"/>
  <c r="I181" i="5"/>
  <c r="I52" i="5"/>
  <c r="I25" i="5"/>
  <c r="I192" i="5"/>
  <c r="I56" i="5"/>
  <c r="I27" i="5"/>
  <c r="I84" i="5"/>
  <c r="I91" i="5"/>
  <c r="I30" i="5"/>
  <c r="I186" i="5"/>
  <c r="I163" i="5"/>
  <c r="I42" i="5"/>
  <c r="I171" i="5"/>
  <c r="I31" i="5"/>
  <c r="I72" i="5"/>
  <c r="I94" i="5"/>
  <c r="I177" i="5"/>
  <c r="I174" i="5"/>
  <c r="I88" i="5"/>
  <c r="I126" i="5"/>
  <c r="R14" i="5"/>
  <c r="I12" i="5"/>
  <c r="I9" i="5"/>
  <c r="I147" i="5"/>
  <c r="I193" i="5"/>
  <c r="I83" i="5"/>
  <c r="I109" i="5"/>
  <c r="I201" i="5"/>
  <c r="I199" i="5"/>
  <c r="I172" i="5"/>
  <c r="I65" i="5"/>
  <c r="I180" i="5"/>
  <c r="I136" i="5"/>
  <c r="I107" i="5"/>
  <c r="I134" i="5"/>
  <c r="I158" i="5"/>
  <c r="I92" i="5"/>
  <c r="I95" i="5"/>
  <c r="I77" i="5"/>
  <c r="I85" i="5"/>
  <c r="I82" i="5"/>
  <c r="I135" i="5"/>
  <c r="I168" i="5"/>
  <c r="I156" i="5"/>
  <c r="I196" i="5"/>
  <c r="I162" i="5"/>
  <c r="I184" i="5"/>
  <c r="I3" i="5"/>
  <c r="I166" i="5"/>
  <c r="I117" i="5"/>
  <c r="I81" i="5"/>
  <c r="I18" i="5"/>
  <c r="I179" i="5"/>
  <c r="I122" i="5"/>
  <c r="I36" i="5"/>
  <c r="I37" i="5"/>
  <c r="I190" i="5"/>
  <c r="I58" i="5"/>
  <c r="I154" i="5"/>
  <c r="I152" i="5"/>
  <c r="I150" i="5"/>
  <c r="I97" i="5"/>
  <c r="I68" i="5"/>
  <c r="I106" i="5"/>
  <c r="L19" i="5"/>
  <c r="L37" i="5"/>
  <c r="L55" i="5"/>
  <c r="L73" i="5"/>
  <c r="L91" i="5"/>
  <c r="L109" i="5"/>
  <c r="L127" i="5"/>
  <c r="L145" i="5"/>
  <c r="L163" i="5"/>
  <c r="L181" i="5"/>
  <c r="L199" i="5"/>
  <c r="L4" i="5"/>
  <c r="L22" i="5"/>
  <c r="L58" i="5"/>
  <c r="L76" i="5"/>
  <c r="L94" i="5"/>
  <c r="L130" i="5"/>
  <c r="L166" i="5"/>
  <c r="L2" i="5"/>
  <c r="L5" i="5"/>
  <c r="L41" i="5"/>
  <c r="L59" i="5"/>
  <c r="L77" i="5"/>
  <c r="L113" i="5"/>
  <c r="L149" i="5"/>
  <c r="L185" i="5"/>
  <c r="L24" i="5"/>
  <c r="L60" i="5"/>
  <c r="L96" i="5"/>
  <c r="L132" i="5"/>
  <c r="L168" i="5"/>
  <c r="L20" i="5"/>
  <c r="L38" i="5"/>
  <c r="L56" i="5"/>
  <c r="L74" i="5"/>
  <c r="L92" i="5"/>
  <c r="L110" i="5"/>
  <c r="L128" i="5"/>
  <c r="L146" i="5"/>
  <c r="L164" i="5"/>
  <c r="L182" i="5"/>
  <c r="L200" i="5"/>
  <c r="L3" i="5"/>
  <c r="L21" i="5"/>
  <c r="L39" i="5"/>
  <c r="L57" i="5"/>
  <c r="L75" i="5"/>
  <c r="L93" i="5"/>
  <c r="L111" i="5"/>
  <c r="L129" i="5"/>
  <c r="L147" i="5"/>
  <c r="L165" i="5"/>
  <c r="L183" i="5"/>
  <c r="L201" i="5"/>
  <c r="L40" i="5"/>
  <c r="L112" i="5"/>
  <c r="L148" i="5"/>
  <c r="L184" i="5"/>
  <c r="L23" i="5"/>
  <c r="L95" i="5"/>
  <c r="L131" i="5"/>
  <c r="L167" i="5"/>
  <c r="L6" i="5"/>
  <c r="L42" i="5"/>
  <c r="L78" i="5"/>
  <c r="L114" i="5"/>
  <c r="L150" i="5"/>
  <c r="L186" i="5"/>
  <c r="L18" i="5"/>
  <c r="L48" i="5"/>
  <c r="L72" i="5"/>
  <c r="L102" i="5"/>
  <c r="L126" i="5"/>
  <c r="L156" i="5"/>
  <c r="L180" i="5"/>
  <c r="L25" i="5"/>
  <c r="L49" i="5"/>
  <c r="L79" i="5"/>
  <c r="L103" i="5"/>
  <c r="L133" i="5"/>
  <c r="L157" i="5"/>
  <c r="L187" i="5"/>
  <c r="L189" i="5"/>
  <c r="L82" i="5"/>
  <c r="L160" i="5"/>
  <c r="L29" i="5"/>
  <c r="L107" i="5"/>
  <c r="L84" i="5"/>
  <c r="L108" i="5"/>
  <c r="L162" i="5"/>
  <c r="L26" i="5"/>
  <c r="L50" i="5"/>
  <c r="L80" i="5"/>
  <c r="L104" i="5"/>
  <c r="L134" i="5"/>
  <c r="L158" i="5"/>
  <c r="L188" i="5"/>
  <c r="L27" i="5"/>
  <c r="L51" i="5"/>
  <c r="L81" i="5"/>
  <c r="L105" i="5"/>
  <c r="L135" i="5"/>
  <c r="L159" i="5"/>
  <c r="L28" i="5"/>
  <c r="L52" i="5"/>
  <c r="L106" i="5"/>
  <c r="L136" i="5"/>
  <c r="L190" i="5"/>
  <c r="L53" i="5"/>
  <c r="L83" i="5"/>
  <c r="L137" i="5"/>
  <c r="L161" i="5"/>
  <c r="L191" i="5"/>
  <c r="L30" i="5"/>
  <c r="L54" i="5"/>
  <c r="L138" i="5"/>
  <c r="L192" i="5"/>
  <c r="L35" i="5"/>
  <c r="L85" i="5"/>
  <c r="L122" i="5"/>
  <c r="L172" i="5"/>
  <c r="L36" i="5"/>
  <c r="L86" i="5"/>
  <c r="L123" i="5"/>
  <c r="L173" i="5"/>
  <c r="L8" i="5"/>
  <c r="L45" i="5"/>
  <c r="L89" i="5"/>
  <c r="L139" i="5"/>
  <c r="L176" i="5"/>
  <c r="L46" i="5"/>
  <c r="L140" i="5"/>
  <c r="L10" i="5"/>
  <c r="L97" i="5"/>
  <c r="L141" i="5"/>
  <c r="L178" i="5"/>
  <c r="L11" i="5"/>
  <c r="L61" i="5"/>
  <c r="L98" i="5"/>
  <c r="L142" i="5"/>
  <c r="L179" i="5"/>
  <c r="L12" i="5"/>
  <c r="L62" i="5"/>
  <c r="L99" i="5"/>
  <c r="L193" i="5"/>
  <c r="L14" i="5"/>
  <c r="L64" i="5"/>
  <c r="L101" i="5"/>
  <c r="L151" i="5"/>
  <c r="L195" i="5"/>
  <c r="L16" i="5"/>
  <c r="L66" i="5"/>
  <c r="L116" i="5"/>
  <c r="L153" i="5"/>
  <c r="L197" i="5"/>
  <c r="L68" i="5"/>
  <c r="L155" i="5"/>
  <c r="L121" i="5"/>
  <c r="L17" i="5"/>
  <c r="L67" i="5"/>
  <c r="L117" i="5"/>
  <c r="L154" i="5"/>
  <c r="L198" i="5"/>
  <c r="L43" i="5"/>
  <c r="L87" i="5"/>
  <c r="L124" i="5"/>
  <c r="L174" i="5"/>
  <c r="L7" i="5"/>
  <c r="L44" i="5"/>
  <c r="L88" i="5"/>
  <c r="L125" i="5"/>
  <c r="L175" i="5"/>
  <c r="L9" i="5"/>
  <c r="L90" i="5"/>
  <c r="L177" i="5"/>
  <c r="L47" i="5"/>
  <c r="L143" i="5"/>
  <c r="L13" i="5"/>
  <c r="L63" i="5"/>
  <c r="L100" i="5"/>
  <c r="L144" i="5"/>
  <c r="L194" i="5"/>
  <c r="L15" i="5"/>
  <c r="L65" i="5"/>
  <c r="L115" i="5"/>
  <c r="L152" i="5"/>
  <c r="L196" i="5"/>
  <c r="L31" i="5"/>
  <c r="L118" i="5"/>
  <c r="L32" i="5"/>
  <c r="L69" i="5"/>
  <c r="L119" i="5"/>
  <c r="L169" i="5"/>
  <c r="L33" i="5"/>
  <c r="L70" i="5"/>
  <c r="L120" i="5"/>
  <c r="L170" i="5"/>
  <c r="L34" i="5"/>
  <c r="L71" i="5"/>
  <c r="L171" i="5"/>
  <c r="M3" i="5"/>
  <c r="M21" i="5"/>
  <c r="M39" i="5"/>
  <c r="M57" i="5"/>
  <c r="M75" i="5"/>
  <c r="M93" i="5"/>
  <c r="M111" i="5"/>
  <c r="M129" i="5"/>
  <c r="M147" i="5"/>
  <c r="M165" i="5"/>
  <c r="M183" i="5"/>
  <c r="M201" i="5"/>
  <c r="M113" i="5"/>
  <c r="M6" i="5"/>
  <c r="M60" i="5"/>
  <c r="M78" i="5"/>
  <c r="M96" i="5"/>
  <c r="M132" i="5"/>
  <c r="M168" i="5"/>
  <c r="M7" i="5"/>
  <c r="M97" i="5"/>
  <c r="M151" i="5"/>
  <c r="M8" i="5"/>
  <c r="M62" i="5"/>
  <c r="M98" i="5"/>
  <c r="M134" i="5"/>
  <c r="M170" i="5"/>
  <c r="M4" i="5"/>
  <c r="M22" i="5"/>
  <c r="M40" i="5"/>
  <c r="M58" i="5"/>
  <c r="M76" i="5"/>
  <c r="M94" i="5"/>
  <c r="M112" i="5"/>
  <c r="M130" i="5"/>
  <c r="M148" i="5"/>
  <c r="M166" i="5"/>
  <c r="M184" i="5"/>
  <c r="M2" i="5"/>
  <c r="M131" i="5"/>
  <c r="M42" i="5"/>
  <c r="M43" i="5"/>
  <c r="M5" i="5"/>
  <c r="M23" i="5"/>
  <c r="M41" i="5"/>
  <c r="M59" i="5"/>
  <c r="M77" i="5"/>
  <c r="M95" i="5"/>
  <c r="M149" i="5"/>
  <c r="M167" i="5"/>
  <c r="M185" i="5"/>
  <c r="M24" i="5"/>
  <c r="M114" i="5"/>
  <c r="M150" i="5"/>
  <c r="M186" i="5"/>
  <c r="M25" i="5"/>
  <c r="M61" i="5"/>
  <c r="M79" i="5"/>
  <c r="M115" i="5"/>
  <c r="M133" i="5"/>
  <c r="M169" i="5"/>
  <c r="M187" i="5"/>
  <c r="M26" i="5"/>
  <c r="M80" i="5"/>
  <c r="M116" i="5"/>
  <c r="M152" i="5"/>
  <c r="M188" i="5"/>
  <c r="M9" i="5"/>
  <c r="M33" i="5"/>
  <c r="M56" i="5"/>
  <c r="M86" i="5"/>
  <c r="M110" i="5"/>
  <c r="M140" i="5"/>
  <c r="M164" i="5"/>
  <c r="M194" i="5"/>
  <c r="M10" i="5"/>
  <c r="M34" i="5"/>
  <c r="M63" i="5"/>
  <c r="M87" i="5"/>
  <c r="M117" i="5"/>
  <c r="M141" i="5"/>
  <c r="M171" i="5"/>
  <c r="M195" i="5"/>
  <c r="M36" i="5"/>
  <c r="M37" i="5"/>
  <c r="M66" i="5"/>
  <c r="M90" i="5"/>
  <c r="M144" i="5"/>
  <c r="M198" i="5"/>
  <c r="M38" i="5"/>
  <c r="M175" i="5"/>
  <c r="M44" i="5"/>
  <c r="M122" i="5"/>
  <c r="M176" i="5"/>
  <c r="M11" i="5"/>
  <c r="M35" i="5"/>
  <c r="M64" i="5"/>
  <c r="M88" i="5"/>
  <c r="M118" i="5"/>
  <c r="M142" i="5"/>
  <c r="M172" i="5"/>
  <c r="M196" i="5"/>
  <c r="M12" i="5"/>
  <c r="M65" i="5"/>
  <c r="M89" i="5"/>
  <c r="M119" i="5"/>
  <c r="M143" i="5"/>
  <c r="M173" i="5"/>
  <c r="M197" i="5"/>
  <c r="M13" i="5"/>
  <c r="M120" i="5"/>
  <c r="M174" i="5"/>
  <c r="M14" i="5"/>
  <c r="M67" i="5"/>
  <c r="M91" i="5"/>
  <c r="M121" i="5"/>
  <c r="M145" i="5"/>
  <c r="M199" i="5"/>
  <c r="M15" i="5"/>
  <c r="M68" i="5"/>
  <c r="M92" i="5"/>
  <c r="M146" i="5"/>
  <c r="M200" i="5"/>
  <c r="M16" i="5"/>
  <c r="M69" i="5"/>
  <c r="M17" i="5"/>
  <c r="M53" i="5"/>
  <c r="M104" i="5"/>
  <c r="M154" i="5"/>
  <c r="M191" i="5"/>
  <c r="M18" i="5"/>
  <c r="M54" i="5"/>
  <c r="M105" i="5"/>
  <c r="M155" i="5"/>
  <c r="M192" i="5"/>
  <c r="M70" i="5"/>
  <c r="M27" i="5"/>
  <c r="M108" i="5"/>
  <c r="M158" i="5"/>
  <c r="M28" i="5"/>
  <c r="M159" i="5"/>
  <c r="M29" i="5"/>
  <c r="M123" i="5"/>
  <c r="M160" i="5"/>
  <c r="M30" i="5"/>
  <c r="M74" i="5"/>
  <c r="M124" i="5"/>
  <c r="M161" i="5"/>
  <c r="M31" i="5"/>
  <c r="M81" i="5"/>
  <c r="M125" i="5"/>
  <c r="M162" i="5"/>
  <c r="M45" i="5"/>
  <c r="M83" i="5"/>
  <c r="M127" i="5"/>
  <c r="M177" i="5"/>
  <c r="M85" i="5"/>
  <c r="M135" i="5"/>
  <c r="M179" i="5"/>
  <c r="M100" i="5"/>
  <c r="M181" i="5"/>
  <c r="M102" i="5"/>
  <c r="M103" i="5"/>
  <c r="M84" i="5"/>
  <c r="M47" i="5"/>
  <c r="M48" i="5"/>
  <c r="M99" i="5"/>
  <c r="M136" i="5"/>
  <c r="M180" i="5"/>
  <c r="M139" i="5"/>
  <c r="M153" i="5"/>
  <c r="M19" i="5"/>
  <c r="M55" i="5"/>
  <c r="M106" i="5"/>
  <c r="M156" i="5"/>
  <c r="M193" i="5"/>
  <c r="M20" i="5"/>
  <c r="M107" i="5"/>
  <c r="M157" i="5"/>
  <c r="M71" i="5"/>
  <c r="M72" i="5"/>
  <c r="M109" i="5"/>
  <c r="M73" i="5"/>
  <c r="M32" i="5"/>
  <c r="M82" i="5"/>
  <c r="M126" i="5"/>
  <c r="M163" i="5"/>
  <c r="M46" i="5"/>
  <c r="M128" i="5"/>
  <c r="M178" i="5"/>
  <c r="M49" i="5"/>
  <c r="M137" i="5"/>
  <c r="M50" i="5"/>
  <c r="M101" i="5"/>
  <c r="M138" i="5"/>
  <c r="M182" i="5"/>
  <c r="M51" i="5"/>
  <c r="M189" i="5"/>
  <c r="M52" i="5"/>
  <c r="M190" i="5"/>
  <c r="J13" i="5"/>
  <c r="J31" i="5"/>
  <c r="J49" i="5"/>
  <c r="J67" i="5"/>
  <c r="J85" i="5"/>
  <c r="J103" i="5"/>
  <c r="J121" i="5"/>
  <c r="J139" i="5"/>
  <c r="J157" i="5"/>
  <c r="J175" i="5"/>
  <c r="J193" i="5"/>
  <c r="J15" i="5"/>
  <c r="J33" i="5"/>
  <c r="J51" i="5"/>
  <c r="J69" i="5"/>
  <c r="J87" i="5"/>
  <c r="J105" i="5"/>
  <c r="J123" i="5"/>
  <c r="J141" i="5"/>
  <c r="J159" i="5"/>
  <c r="J177" i="5"/>
  <c r="J195" i="5"/>
  <c r="J22" i="5"/>
  <c r="J42" i="5"/>
  <c r="J62" i="5"/>
  <c r="J82" i="5"/>
  <c r="J102" i="5"/>
  <c r="J124" i="5"/>
  <c r="J144" i="5"/>
  <c r="J164" i="5"/>
  <c r="J184" i="5"/>
  <c r="J3" i="5"/>
  <c r="J23" i="5"/>
  <c r="J43" i="5"/>
  <c r="J63" i="5"/>
  <c r="J83" i="5"/>
  <c r="J104" i="5"/>
  <c r="J125" i="5"/>
  <c r="J145" i="5"/>
  <c r="J165" i="5"/>
  <c r="J185" i="5"/>
  <c r="J24" i="5"/>
  <c r="J44" i="5"/>
  <c r="J64" i="5"/>
  <c r="J84" i="5"/>
  <c r="J106" i="5"/>
  <c r="J126" i="5"/>
  <c r="J146" i="5"/>
  <c r="J166" i="5"/>
  <c r="J186" i="5"/>
  <c r="J6" i="5"/>
  <c r="J29" i="5"/>
  <c r="J54" i="5"/>
  <c r="J77" i="5"/>
  <c r="J100" i="5"/>
  <c r="J128" i="5"/>
  <c r="J151" i="5"/>
  <c r="J174" i="5"/>
  <c r="J199" i="5"/>
  <c r="J7" i="5"/>
  <c r="J30" i="5"/>
  <c r="J55" i="5"/>
  <c r="J78" i="5"/>
  <c r="J101" i="5"/>
  <c r="J129" i="5"/>
  <c r="J152" i="5"/>
  <c r="J176" i="5"/>
  <c r="J200" i="5"/>
  <c r="J8" i="5"/>
  <c r="J32" i="5"/>
  <c r="J56" i="5"/>
  <c r="J79" i="5"/>
  <c r="J107" i="5"/>
  <c r="J130" i="5"/>
  <c r="J153" i="5"/>
  <c r="J178" i="5"/>
  <c r="J201" i="5"/>
  <c r="J9" i="5"/>
  <c r="J34" i="5"/>
  <c r="J57" i="5"/>
  <c r="J80" i="5"/>
  <c r="J108" i="5"/>
  <c r="J131" i="5"/>
  <c r="J154" i="5"/>
  <c r="J179" i="5"/>
  <c r="J2" i="5"/>
  <c r="J10" i="5"/>
  <c r="J35" i="5"/>
  <c r="J58" i="5"/>
  <c r="J81" i="5"/>
  <c r="J109" i="5"/>
  <c r="J132" i="5"/>
  <c r="J155" i="5"/>
  <c r="J180" i="5"/>
  <c r="J11" i="5"/>
  <c r="J36" i="5"/>
  <c r="J59" i="5"/>
  <c r="J86" i="5"/>
  <c r="J110" i="5"/>
  <c r="J133" i="5"/>
  <c r="J156" i="5"/>
  <c r="J181" i="5"/>
  <c r="J12" i="5"/>
  <c r="J37" i="5"/>
  <c r="J60" i="5"/>
  <c r="J88" i="5"/>
  <c r="J111" i="5"/>
  <c r="J134" i="5"/>
  <c r="J158" i="5"/>
  <c r="J182" i="5"/>
  <c r="J14" i="5"/>
  <c r="J38" i="5"/>
  <c r="J61" i="5"/>
  <c r="J89" i="5"/>
  <c r="J112" i="5"/>
  <c r="J135" i="5"/>
  <c r="J160" i="5"/>
  <c r="J183" i="5"/>
  <c r="J16" i="5"/>
  <c r="J39" i="5"/>
  <c r="J65" i="5"/>
  <c r="J90" i="5"/>
  <c r="J113" i="5"/>
  <c r="J136" i="5"/>
  <c r="J161" i="5"/>
  <c r="J17" i="5"/>
  <c r="J66" i="5"/>
  <c r="J114" i="5"/>
  <c r="J162" i="5"/>
  <c r="J198" i="5"/>
  <c r="J18" i="5"/>
  <c r="J68" i="5"/>
  <c r="J115" i="5"/>
  <c r="J163" i="5"/>
  <c r="J19" i="5"/>
  <c r="J70" i="5"/>
  <c r="J116" i="5"/>
  <c r="J167" i="5"/>
  <c r="J20" i="5"/>
  <c r="J71" i="5"/>
  <c r="J117" i="5"/>
  <c r="J168" i="5"/>
  <c r="J21" i="5"/>
  <c r="J72" i="5"/>
  <c r="J118" i="5"/>
  <c r="J169" i="5"/>
  <c r="J25" i="5"/>
  <c r="J73" i="5"/>
  <c r="J119" i="5"/>
  <c r="J170" i="5"/>
  <c r="J26" i="5"/>
  <c r="J74" i="5"/>
  <c r="J120" i="5"/>
  <c r="J171" i="5"/>
  <c r="J27" i="5"/>
  <c r="J75" i="5"/>
  <c r="J122" i="5"/>
  <c r="J28" i="5"/>
  <c r="J76" i="5"/>
  <c r="J127" i="5"/>
  <c r="J40" i="5"/>
  <c r="J91" i="5"/>
  <c r="J137" i="5"/>
  <c r="J187" i="5"/>
  <c r="J45" i="5"/>
  <c r="J93" i="5"/>
  <c r="J140" i="5"/>
  <c r="J189" i="5"/>
  <c r="J95" i="5"/>
  <c r="J143" i="5"/>
  <c r="J191" i="5"/>
  <c r="J48" i="5"/>
  <c r="J147" i="5"/>
  <c r="J192" i="5"/>
  <c r="J50" i="5"/>
  <c r="J97" i="5"/>
  <c r="J148" i="5"/>
  <c r="J194" i="5"/>
  <c r="J98" i="5"/>
  <c r="J149" i="5"/>
  <c r="J196" i="5"/>
  <c r="J172" i="5"/>
  <c r="J173" i="5"/>
  <c r="J41" i="5"/>
  <c r="J92" i="5"/>
  <c r="J138" i="5"/>
  <c r="J188" i="5"/>
  <c r="J46" i="5"/>
  <c r="J94" i="5"/>
  <c r="J142" i="5"/>
  <c r="J190" i="5"/>
  <c r="J47" i="5"/>
  <c r="J96" i="5"/>
  <c r="J52" i="5"/>
  <c r="J5" i="5"/>
  <c r="J53" i="5"/>
  <c r="J99" i="5"/>
  <c r="J150" i="5"/>
  <c r="J197" i="5"/>
  <c r="R15" i="5"/>
  <c r="C197" i="9"/>
  <c r="B198" i="9"/>
  <c r="B198" i="6"/>
  <c r="B199" i="6"/>
  <c r="B197" i="6"/>
  <c r="C196" i="6"/>
  <c r="B197" i="9" l="1"/>
  <c r="C196" i="9"/>
  <c r="B196" i="6"/>
  <c r="C195" i="6"/>
  <c r="B196" i="9" l="1"/>
  <c r="C195" i="9"/>
  <c r="B195" i="6"/>
  <c r="C194" i="6"/>
  <c r="B195" i="9" l="1"/>
  <c r="C194" i="9"/>
  <c r="B194" i="6"/>
  <c r="C193" i="6"/>
  <c r="B194" i="9" l="1"/>
  <c r="C193" i="9"/>
  <c r="C192" i="6"/>
  <c r="B193" i="6"/>
  <c r="B193" i="9" l="1"/>
  <c r="C192" i="9"/>
  <c r="B192" i="6"/>
  <c r="C191" i="6"/>
  <c r="B192" i="9" l="1"/>
  <c r="C191" i="9"/>
  <c r="C190" i="6"/>
  <c r="B191" i="6"/>
  <c r="C190" i="9" l="1"/>
  <c r="B191" i="9"/>
  <c r="C189" i="6"/>
  <c r="B190" i="6"/>
  <c r="C189" i="9" l="1"/>
  <c r="B190" i="9"/>
  <c r="B189" i="6"/>
  <c r="C188" i="6"/>
  <c r="B189" i="9" l="1"/>
  <c r="C188" i="9"/>
  <c r="B188" i="6"/>
  <c r="C187" i="6"/>
  <c r="C187" i="9" l="1"/>
  <c r="B188" i="9"/>
  <c r="C186" i="6"/>
  <c r="B187" i="6"/>
  <c r="B187" i="9" l="1"/>
  <c r="C186" i="9"/>
  <c r="B186" i="6"/>
  <c r="C185" i="6"/>
  <c r="B186" i="9" l="1"/>
  <c r="C185" i="9"/>
  <c r="B185" i="6"/>
  <c r="C184" i="6"/>
  <c r="B185" i="9" l="1"/>
  <c r="C184" i="9"/>
  <c r="C183" i="6"/>
  <c r="B184" i="6"/>
  <c r="C183" i="9" l="1"/>
  <c r="B184" i="9"/>
  <c r="C182" i="6"/>
  <c r="B183" i="6"/>
  <c r="B183" i="9" l="1"/>
  <c r="C182" i="9"/>
  <c r="C181" i="6"/>
  <c r="B182" i="6"/>
  <c r="C181" i="9" l="1"/>
  <c r="B182" i="9"/>
  <c r="B181" i="6"/>
  <c r="C180" i="6"/>
  <c r="B181" i="9" l="1"/>
  <c r="C180" i="9"/>
  <c r="B180" i="6"/>
  <c r="C179" i="6"/>
  <c r="C179" i="9" l="1"/>
  <c r="B180" i="9"/>
  <c r="B179" i="6"/>
  <c r="C178" i="6"/>
  <c r="B179" i="9" l="1"/>
  <c r="C178" i="9"/>
  <c r="C177" i="6"/>
  <c r="B178" i="6"/>
  <c r="B178" i="9" l="1"/>
  <c r="C177" i="9"/>
  <c r="B177" i="6"/>
  <c r="C176" i="6"/>
  <c r="C176" i="9" l="1"/>
  <c r="B177" i="9"/>
  <c r="C175" i="6"/>
  <c r="B176" i="6"/>
  <c r="B176" i="9" l="1"/>
  <c r="C175" i="9"/>
  <c r="C174" i="6"/>
  <c r="B175" i="6"/>
  <c r="B175" i="9" l="1"/>
  <c r="C174" i="9"/>
  <c r="C173" i="6"/>
  <c r="B174" i="6"/>
  <c r="B174" i="9" l="1"/>
  <c r="C173" i="9"/>
  <c r="B173" i="6"/>
  <c r="C172" i="6"/>
  <c r="C172" i="9" l="1"/>
  <c r="B173" i="9"/>
  <c r="B172" i="6"/>
  <c r="C171" i="6"/>
  <c r="C171" i="9" l="1"/>
  <c r="B172" i="9"/>
  <c r="B171" i="6"/>
  <c r="C170" i="6"/>
  <c r="B171" i="9" l="1"/>
  <c r="C170" i="9"/>
  <c r="C169" i="6"/>
  <c r="B170" i="6"/>
  <c r="B170" i="9" l="1"/>
  <c r="C169" i="9"/>
  <c r="C168" i="6"/>
  <c r="B169" i="6"/>
  <c r="B169" i="9" l="1"/>
  <c r="C168" i="9"/>
  <c r="B168" i="6"/>
  <c r="C167" i="6"/>
  <c r="B168" i="9" l="1"/>
  <c r="C167" i="9"/>
  <c r="C166" i="6"/>
  <c r="B167" i="6"/>
  <c r="C166" i="9" l="1"/>
  <c r="B167" i="9"/>
  <c r="C165" i="6"/>
  <c r="B166" i="6"/>
  <c r="B166" i="9" l="1"/>
  <c r="C165" i="9"/>
  <c r="B165" i="6"/>
  <c r="C164" i="6"/>
  <c r="B165" i="9" l="1"/>
  <c r="C164" i="9"/>
  <c r="B164" i="6"/>
  <c r="C163" i="6"/>
  <c r="C163" i="9" l="1"/>
  <c r="B164" i="9"/>
  <c r="C162" i="6"/>
  <c r="B163" i="6"/>
  <c r="B163" i="9" l="1"/>
  <c r="C162" i="9"/>
  <c r="B162" i="6"/>
  <c r="C161" i="6"/>
  <c r="B162" i="9" l="1"/>
  <c r="C161" i="9"/>
  <c r="C160" i="6"/>
  <c r="B161" i="6"/>
  <c r="B161" i="9" l="1"/>
  <c r="C160" i="9"/>
  <c r="B160" i="6"/>
  <c r="C159" i="6"/>
  <c r="B160" i="9" l="1"/>
  <c r="C159" i="9"/>
  <c r="C158" i="6"/>
  <c r="B159" i="6"/>
  <c r="B159" i="9" l="1"/>
  <c r="C158" i="9"/>
  <c r="C157" i="6"/>
  <c r="B158" i="6"/>
  <c r="B158" i="9" l="1"/>
  <c r="C157" i="9"/>
  <c r="B157" i="6"/>
  <c r="C156" i="6"/>
  <c r="B157" i="9" l="1"/>
  <c r="C156" i="9"/>
  <c r="B156" i="6"/>
  <c r="C155" i="6"/>
  <c r="B156" i="9" l="1"/>
  <c r="C155" i="9"/>
  <c r="C154" i="6"/>
  <c r="B155" i="6"/>
  <c r="C154" i="9" l="1"/>
  <c r="B155" i="9"/>
  <c r="B154" i="6"/>
  <c r="C153" i="6"/>
  <c r="C153" i="9" l="1"/>
  <c r="B154" i="9"/>
  <c r="B153" i="6"/>
  <c r="C152" i="6"/>
  <c r="B153" i="9" l="1"/>
  <c r="C152" i="9"/>
  <c r="C151" i="6"/>
  <c r="B152" i="6"/>
  <c r="B152" i="9" l="1"/>
  <c r="C151" i="9"/>
  <c r="C150" i="6"/>
  <c r="B151" i="6"/>
  <c r="B151" i="9" l="1"/>
  <c r="C150" i="9"/>
  <c r="C149" i="6"/>
  <c r="B150" i="6"/>
  <c r="C149" i="9" l="1"/>
  <c r="B150" i="9"/>
  <c r="B149" i="6"/>
  <c r="C148" i="6"/>
  <c r="B149" i="9" l="1"/>
  <c r="C148" i="9"/>
  <c r="B148" i="6"/>
  <c r="C147" i="6"/>
  <c r="B148" i="9" l="1"/>
  <c r="C147" i="9"/>
  <c r="B147" i="6"/>
  <c r="C146" i="6"/>
  <c r="B147" i="9" l="1"/>
  <c r="C146" i="9"/>
  <c r="C145" i="6"/>
  <c r="B146" i="6"/>
  <c r="C145" i="9" l="1"/>
  <c r="B146" i="9"/>
  <c r="B145" i="6"/>
  <c r="C144" i="6"/>
  <c r="B145" i="9" l="1"/>
  <c r="C144" i="9"/>
  <c r="B144" i="6"/>
  <c r="C143" i="6"/>
  <c r="B144" i="9" l="1"/>
  <c r="C143" i="9"/>
  <c r="C142" i="6"/>
  <c r="B143" i="6"/>
  <c r="C142" i="9" l="1"/>
  <c r="B143" i="9"/>
  <c r="C141" i="6"/>
  <c r="B142" i="6"/>
  <c r="B142" i="9" l="1"/>
  <c r="C141" i="9"/>
  <c r="B141" i="6"/>
  <c r="C140" i="6"/>
  <c r="B141" i="9" l="1"/>
  <c r="C140" i="9"/>
  <c r="B140" i="6"/>
  <c r="C139" i="6"/>
  <c r="B140" i="9" l="1"/>
  <c r="C139" i="9"/>
  <c r="C138" i="6"/>
  <c r="B139" i="6"/>
  <c r="B139" i="9" l="1"/>
  <c r="C138" i="9"/>
  <c r="B138" i="6"/>
  <c r="C137" i="6"/>
  <c r="B138" i="9" l="1"/>
  <c r="C137" i="9"/>
  <c r="C136" i="6"/>
  <c r="B137" i="6"/>
  <c r="C136" i="9" l="1"/>
  <c r="B137" i="9"/>
  <c r="C135" i="6"/>
  <c r="B136" i="6"/>
  <c r="C135" i="9" l="1"/>
  <c r="B136" i="9"/>
  <c r="B135" i="6"/>
  <c r="C134" i="6"/>
  <c r="B135" i="9" l="1"/>
  <c r="C134" i="9"/>
  <c r="C133" i="6"/>
  <c r="B134" i="6"/>
  <c r="B134" i="9" l="1"/>
  <c r="C133" i="9"/>
  <c r="B133" i="6"/>
  <c r="C132" i="6"/>
  <c r="B133" i="9" l="1"/>
  <c r="C132" i="9"/>
  <c r="B132" i="6"/>
  <c r="C131" i="6"/>
  <c r="B132" i="9" l="1"/>
  <c r="C131" i="9"/>
  <c r="C130" i="6"/>
  <c r="B131" i="6"/>
  <c r="B131" i="9" l="1"/>
  <c r="C130" i="9"/>
  <c r="B130" i="6"/>
  <c r="C129" i="6"/>
  <c r="B130" i="9" l="1"/>
  <c r="C129" i="9"/>
  <c r="B129" i="6"/>
  <c r="C128" i="6"/>
  <c r="B129" i="9" l="1"/>
  <c r="C128" i="9"/>
  <c r="C127" i="6"/>
  <c r="B128" i="6"/>
  <c r="C127" i="9" l="1"/>
  <c r="B128" i="9"/>
  <c r="C126" i="6"/>
  <c r="B127" i="6"/>
  <c r="B127" i="9" l="1"/>
  <c r="C126" i="9"/>
  <c r="C125" i="6"/>
  <c r="B126" i="6"/>
  <c r="B126" i="9" l="1"/>
  <c r="C125" i="9"/>
  <c r="C124" i="6"/>
  <c r="B125" i="6"/>
  <c r="C124" i="9" l="1"/>
  <c r="B125" i="9"/>
  <c r="B124" i="6"/>
  <c r="C123" i="6"/>
  <c r="B124" i="9" l="1"/>
  <c r="C123" i="9"/>
  <c r="C122" i="6"/>
  <c r="B123" i="6"/>
  <c r="B123" i="9" l="1"/>
  <c r="C122" i="9"/>
  <c r="B122" i="6"/>
  <c r="C121" i="6"/>
  <c r="B122" i="9" l="1"/>
  <c r="C121" i="9"/>
  <c r="B121" i="6"/>
  <c r="C120" i="6"/>
  <c r="B121" i="9" l="1"/>
  <c r="C120" i="9"/>
  <c r="C119" i="6"/>
  <c r="B120" i="6"/>
  <c r="C119" i="9" l="1"/>
  <c r="B120" i="9"/>
  <c r="C118" i="6"/>
  <c r="B119" i="6"/>
  <c r="C118" i="9" l="1"/>
  <c r="B119" i="9"/>
  <c r="C117" i="6"/>
  <c r="B118" i="6"/>
  <c r="C117" i="9" l="1"/>
  <c r="B118" i="9"/>
  <c r="B117" i="6"/>
  <c r="C116" i="6"/>
  <c r="B117" i="9" l="1"/>
  <c r="C116" i="9"/>
  <c r="B116" i="6"/>
  <c r="C115" i="6"/>
  <c r="B116" i="9" l="1"/>
  <c r="C115" i="9"/>
  <c r="B115" i="6"/>
  <c r="C114" i="6"/>
  <c r="B115" i="9" l="1"/>
  <c r="C114" i="9"/>
  <c r="C113" i="6"/>
  <c r="B114" i="6"/>
  <c r="B114" i="9" l="1"/>
  <c r="C113" i="9"/>
  <c r="B113" i="6"/>
  <c r="C112" i="6"/>
  <c r="B113" i="9" l="1"/>
  <c r="C112" i="9"/>
  <c r="B112" i="6"/>
  <c r="C111" i="6"/>
  <c r="B112" i="9" l="1"/>
  <c r="C111" i="9"/>
  <c r="C110" i="6"/>
  <c r="B111" i="6"/>
  <c r="B111" i="9" l="1"/>
  <c r="C110" i="9"/>
  <c r="C109" i="6"/>
  <c r="B110" i="6"/>
  <c r="C109" i="9" l="1"/>
  <c r="B110" i="9"/>
  <c r="B109" i="6"/>
  <c r="C108" i="6"/>
  <c r="B109" i="9" l="1"/>
  <c r="C108" i="9"/>
  <c r="B108" i="6"/>
  <c r="C107" i="6"/>
  <c r="B108" i="9" l="1"/>
  <c r="C107" i="9"/>
  <c r="B107" i="6"/>
  <c r="C106" i="6"/>
  <c r="C106" i="9" l="1"/>
  <c r="B107" i="9"/>
  <c r="C105" i="6"/>
  <c r="B106" i="6"/>
  <c r="B106" i="9" l="1"/>
  <c r="C105" i="9"/>
  <c r="C104" i="6"/>
  <c r="B105" i="6"/>
  <c r="B105" i="9" l="1"/>
  <c r="C104" i="9"/>
  <c r="B104" i="6"/>
  <c r="C103" i="6"/>
  <c r="B104" i="9" l="1"/>
  <c r="C103" i="9"/>
  <c r="B103" i="6"/>
  <c r="C102" i="6"/>
  <c r="C102" i="9" l="1"/>
  <c r="B103" i="9"/>
  <c r="B102" i="6"/>
  <c r="C101" i="6"/>
  <c r="B102" i="9" l="1"/>
  <c r="C101" i="9"/>
  <c r="C100" i="6"/>
  <c r="B101" i="6"/>
  <c r="C100" i="9" l="1"/>
  <c r="B101" i="9"/>
  <c r="B100" i="6"/>
  <c r="C99" i="6"/>
  <c r="C99" i="9" l="1"/>
  <c r="B100" i="9"/>
  <c r="B99" i="6"/>
  <c r="C98" i="6"/>
  <c r="B99" i="9" l="1"/>
  <c r="C98" i="9"/>
  <c r="C97" i="6"/>
  <c r="B98" i="6"/>
  <c r="C97" i="9" l="1"/>
  <c r="B98" i="9"/>
  <c r="C96" i="6"/>
  <c r="B97" i="6"/>
  <c r="B97" i="9" l="1"/>
  <c r="C96" i="9"/>
  <c r="B96" i="6"/>
  <c r="C95" i="6"/>
  <c r="B96" i="9" l="1"/>
  <c r="C95" i="9"/>
  <c r="B95" i="6"/>
  <c r="C94" i="6"/>
  <c r="B95" i="9" l="1"/>
  <c r="C94" i="9"/>
  <c r="C93" i="6"/>
  <c r="B94" i="6"/>
  <c r="B94" i="9" l="1"/>
  <c r="C93" i="9"/>
  <c r="B93" i="6"/>
  <c r="C92" i="6"/>
  <c r="B93" i="9" l="1"/>
  <c r="C92" i="9"/>
  <c r="C91" i="6"/>
  <c r="B92" i="6"/>
  <c r="C91" i="9" l="1"/>
  <c r="B92" i="9"/>
  <c r="B91" i="6"/>
  <c r="C90" i="6"/>
  <c r="B91" i="9" l="1"/>
  <c r="C90" i="9"/>
  <c r="C89" i="6"/>
  <c r="B90" i="6"/>
  <c r="C89" i="9" l="1"/>
  <c r="B90" i="9"/>
  <c r="C88" i="6"/>
  <c r="B89" i="6"/>
  <c r="B89" i="9" l="1"/>
  <c r="C88" i="9"/>
  <c r="B88" i="6"/>
  <c r="C87" i="6"/>
  <c r="B88" i="9" l="1"/>
  <c r="C87" i="9"/>
  <c r="B87" i="6"/>
  <c r="C86" i="6"/>
  <c r="C86" i="9" l="1"/>
  <c r="B87" i="9"/>
  <c r="C85" i="6"/>
  <c r="B86" i="6"/>
  <c r="C85" i="9" l="1"/>
  <c r="B86" i="9"/>
  <c r="B85" i="6"/>
  <c r="C84" i="6"/>
  <c r="B85" i="9" l="1"/>
  <c r="C84" i="9"/>
  <c r="B84" i="6"/>
  <c r="C83" i="6"/>
  <c r="B84" i="9" l="1"/>
  <c r="C83" i="9"/>
  <c r="B83" i="6"/>
  <c r="C82" i="6"/>
  <c r="C82" i="9" l="1"/>
  <c r="B83" i="9"/>
  <c r="C81" i="6"/>
  <c r="B82" i="6"/>
  <c r="C81" i="9" l="1"/>
  <c r="B82" i="9"/>
  <c r="C80" i="6"/>
  <c r="B81" i="6"/>
  <c r="B81" i="9" l="1"/>
  <c r="C80" i="9"/>
  <c r="B80" i="6"/>
  <c r="C79" i="6"/>
  <c r="B80" i="9" l="1"/>
  <c r="C79" i="9"/>
  <c r="B79" i="6"/>
  <c r="C78" i="6"/>
  <c r="B79" i="9" l="1"/>
  <c r="C78" i="9"/>
  <c r="C77" i="6"/>
  <c r="B78" i="6"/>
  <c r="B78" i="9" l="1"/>
  <c r="C77" i="9"/>
  <c r="C76" i="6"/>
  <c r="B77" i="6"/>
  <c r="B77" i="9" l="1"/>
  <c r="C76" i="9"/>
  <c r="B76" i="6"/>
  <c r="C75" i="6"/>
  <c r="B76" i="9" l="1"/>
  <c r="C75" i="9"/>
  <c r="B75" i="6"/>
  <c r="C74" i="6"/>
  <c r="B75" i="9" l="1"/>
  <c r="C74" i="9"/>
  <c r="C73" i="6"/>
  <c r="B74" i="6"/>
  <c r="C73" i="9" l="1"/>
  <c r="B74" i="9"/>
  <c r="C72" i="6"/>
  <c r="B73" i="6"/>
  <c r="B73" i="9" l="1"/>
  <c r="C72" i="9"/>
  <c r="B72" i="6"/>
  <c r="C71" i="6"/>
  <c r="C71" i="9" l="1"/>
  <c r="B72" i="9"/>
  <c r="B71" i="6"/>
  <c r="C70" i="6"/>
  <c r="C70" i="9" l="1"/>
  <c r="B71" i="9"/>
  <c r="B70" i="6"/>
  <c r="C69" i="6"/>
  <c r="B70" i="9" l="1"/>
  <c r="C69" i="9"/>
  <c r="C68" i="6"/>
  <c r="B69" i="6"/>
  <c r="B69" i="9" l="1"/>
  <c r="C68" i="9"/>
  <c r="B68" i="6"/>
  <c r="C67" i="6"/>
  <c r="B68" i="9" l="1"/>
  <c r="C67" i="9"/>
  <c r="B67" i="6"/>
  <c r="C66" i="6"/>
  <c r="B67" i="9" l="1"/>
  <c r="C66" i="9"/>
  <c r="B66" i="6"/>
  <c r="C65" i="6"/>
  <c r="B66" i="9" l="1"/>
  <c r="C65" i="9"/>
  <c r="C64" i="6"/>
  <c r="B65" i="6"/>
  <c r="C64" i="9" l="1"/>
  <c r="B65" i="9"/>
  <c r="C63" i="6"/>
  <c r="B64" i="6"/>
  <c r="C63" i="9" l="1"/>
  <c r="B64" i="9"/>
  <c r="B63" i="6"/>
  <c r="C62" i="6"/>
  <c r="B63" i="9" l="1"/>
  <c r="C62" i="9"/>
  <c r="B62" i="6"/>
  <c r="C61" i="6"/>
  <c r="B62" i="9" l="1"/>
  <c r="C61" i="9"/>
  <c r="C60" i="6"/>
  <c r="B61" i="6"/>
  <c r="B61" i="9" l="1"/>
  <c r="C60" i="9"/>
  <c r="C59" i="6"/>
  <c r="B60" i="6"/>
  <c r="B60" i="9" l="1"/>
  <c r="C59" i="9"/>
  <c r="B59" i="6"/>
  <c r="C58" i="6"/>
  <c r="B59" i="9" l="1"/>
  <c r="C58" i="9"/>
  <c r="B58" i="6"/>
  <c r="C57" i="6"/>
  <c r="B58" i="9" l="1"/>
  <c r="C57" i="9"/>
  <c r="C56" i="6"/>
  <c r="B57" i="6"/>
  <c r="B57" i="9" l="1"/>
  <c r="C56" i="9"/>
  <c r="C55" i="6"/>
  <c r="B56" i="6"/>
  <c r="C55" i="9" l="1"/>
  <c r="B56" i="9"/>
  <c r="B55" i="6"/>
  <c r="C54" i="6"/>
  <c r="B55" i="9" l="1"/>
  <c r="C54" i="9"/>
  <c r="B54" i="6"/>
  <c r="C53" i="6"/>
  <c r="C53" i="9" l="1"/>
  <c r="B54" i="9"/>
  <c r="C52" i="6"/>
  <c r="B53" i="6"/>
  <c r="B53" i="9" l="1"/>
  <c r="C52" i="9"/>
  <c r="C51" i="6"/>
  <c r="B52" i="6"/>
  <c r="B52" i="9" l="1"/>
  <c r="C51" i="9"/>
  <c r="C50" i="6"/>
  <c r="B51" i="6"/>
  <c r="B51" i="9" l="1"/>
  <c r="C50" i="9"/>
  <c r="B50" i="6"/>
  <c r="C49" i="6"/>
  <c r="B50" i="9" l="1"/>
  <c r="C49" i="9"/>
  <c r="C48" i="6"/>
  <c r="B49" i="6"/>
  <c r="B49" i="9" l="1"/>
  <c r="C48" i="9"/>
  <c r="C47" i="6"/>
  <c r="B48" i="6"/>
  <c r="C47" i="9" l="1"/>
  <c r="B48" i="9"/>
  <c r="B47" i="6"/>
  <c r="C46" i="6"/>
  <c r="C46" i="9" l="1"/>
  <c r="B47" i="9"/>
  <c r="B46" i="6"/>
  <c r="C45" i="6"/>
  <c r="C45" i="9" l="1"/>
  <c r="B46" i="9"/>
  <c r="C44" i="6"/>
  <c r="B45" i="6"/>
  <c r="B45" i="9" l="1"/>
  <c r="C44" i="9"/>
  <c r="B44" i="6"/>
  <c r="C43" i="6"/>
  <c r="B44" i="9" l="1"/>
  <c r="C43" i="9"/>
  <c r="C42" i="6"/>
  <c r="B43" i="6"/>
  <c r="B43" i="9" l="1"/>
  <c r="C42" i="9"/>
  <c r="C41" i="6"/>
  <c r="B42" i="6"/>
  <c r="B42" i="9" l="1"/>
  <c r="C41" i="9"/>
  <c r="C40" i="6"/>
  <c r="B41" i="6"/>
  <c r="B41" i="9" l="1"/>
  <c r="C40" i="9"/>
  <c r="B40" i="6"/>
  <c r="C39" i="6"/>
  <c r="C39" i="9" l="1"/>
  <c r="B40" i="9"/>
  <c r="B39" i="6"/>
  <c r="C38" i="6"/>
  <c r="B39" i="9" l="1"/>
  <c r="C38" i="9"/>
  <c r="C37" i="6"/>
  <c r="B38" i="6"/>
  <c r="C37" i="9" l="1"/>
  <c r="B38" i="9"/>
  <c r="B37" i="6"/>
  <c r="C36" i="6"/>
  <c r="B37" i="9" l="1"/>
  <c r="C36" i="9"/>
  <c r="C35" i="6"/>
  <c r="B36" i="6"/>
  <c r="C35" i="9" l="1"/>
  <c r="B36" i="9"/>
  <c r="B35" i="6"/>
  <c r="C34" i="6"/>
  <c r="B35" i="9" l="1"/>
  <c r="C34" i="9"/>
  <c r="B34" i="6"/>
  <c r="C33" i="6"/>
  <c r="B34" i="9" l="1"/>
  <c r="C33" i="9"/>
  <c r="C32" i="6"/>
  <c r="B33" i="6"/>
  <c r="B33" i="9" l="1"/>
  <c r="C32" i="9"/>
  <c r="C31" i="6"/>
  <c r="B32" i="6"/>
  <c r="B32" i="9" l="1"/>
  <c r="C31" i="9"/>
  <c r="B31" i="6"/>
  <c r="C30" i="6"/>
  <c r="B31" i="9" l="1"/>
  <c r="C30" i="9"/>
  <c r="C29" i="6"/>
  <c r="B30" i="6"/>
  <c r="B30" i="9" l="1"/>
  <c r="C29" i="9"/>
  <c r="C28" i="6"/>
  <c r="B29" i="6"/>
  <c r="C28" i="9" l="1"/>
  <c r="B29" i="9"/>
  <c r="B28" i="6"/>
  <c r="C27" i="6"/>
  <c r="C27" i="9" l="1"/>
  <c r="B28" i="9"/>
  <c r="C26" i="6"/>
  <c r="B27" i="6"/>
  <c r="B27" i="9" l="1"/>
  <c r="C26" i="9"/>
  <c r="C25" i="6"/>
  <c r="B26" i="6"/>
  <c r="B26" i="9" l="1"/>
  <c r="C25" i="9"/>
  <c r="C24" i="6"/>
  <c r="B25" i="6"/>
  <c r="B25" i="9" l="1"/>
  <c r="C24" i="9"/>
  <c r="C23" i="6"/>
  <c r="B24" i="6"/>
  <c r="C23" i="9" l="1"/>
  <c r="B24" i="9"/>
  <c r="B23" i="6"/>
  <c r="C22" i="6"/>
  <c r="B23" i="9" l="1"/>
  <c r="C22" i="9"/>
  <c r="B22" i="6"/>
  <c r="C21" i="6"/>
  <c r="B22" i="9" l="1"/>
  <c r="C21" i="9"/>
  <c r="C20" i="6"/>
  <c r="B21" i="6"/>
  <c r="B21" i="9" l="1"/>
  <c r="C20" i="9"/>
  <c r="B20" i="6"/>
  <c r="C19" i="6"/>
  <c r="C19" i="9" l="1"/>
  <c r="B20" i="9"/>
  <c r="B19" i="6"/>
  <c r="C18" i="6"/>
  <c r="B19" i="9" l="1"/>
  <c r="C18" i="9"/>
  <c r="C17" i="6"/>
  <c r="B18" i="6"/>
  <c r="B18" i="9" l="1"/>
  <c r="C17" i="9"/>
  <c r="C16" i="6"/>
  <c r="B17" i="6"/>
  <c r="B17" i="9" l="1"/>
  <c r="C16" i="9"/>
  <c r="B16" i="6"/>
  <c r="C15" i="6"/>
  <c r="B16" i="9" l="1"/>
  <c r="C15" i="9"/>
  <c r="B15" i="6"/>
  <c r="C14" i="6"/>
  <c r="B15" i="9" l="1"/>
  <c r="C14" i="9"/>
  <c r="C13" i="6"/>
  <c r="B14" i="6"/>
  <c r="B14" i="9" l="1"/>
  <c r="C13" i="9"/>
  <c r="C12" i="6"/>
  <c r="B13" i="6"/>
  <c r="B13" i="9" l="1"/>
  <c r="C12" i="9"/>
  <c r="C11" i="6"/>
  <c r="B12" i="6"/>
  <c r="B12" i="9" l="1"/>
  <c r="C11" i="9"/>
  <c r="C10" i="6"/>
  <c r="B11" i="6"/>
  <c r="C10" i="9" l="1"/>
  <c r="B11" i="9"/>
  <c r="B10" i="6"/>
  <c r="C9" i="6"/>
  <c r="C9" i="9" l="1"/>
  <c r="B10" i="9"/>
  <c r="C8" i="6"/>
  <c r="B9" i="6"/>
  <c r="B9" i="9" l="1"/>
  <c r="C8" i="9"/>
  <c r="C7" i="6"/>
  <c r="B8" i="6"/>
  <c r="B8" i="9" l="1"/>
  <c r="C7" i="9"/>
  <c r="B7" i="6"/>
  <c r="C6" i="6"/>
  <c r="B7" i="9" l="1"/>
  <c r="C6" i="9"/>
  <c r="C5" i="6"/>
  <c r="B6" i="6"/>
  <c r="B6" i="9" l="1"/>
  <c r="C5" i="9"/>
  <c r="C4" i="6"/>
  <c r="B5" i="6"/>
  <c r="B5" i="9" l="1"/>
  <c r="C4" i="9"/>
  <c r="B4" i="6"/>
  <c r="C3" i="6"/>
  <c r="B4" i="9" l="1"/>
  <c r="C3" i="9"/>
  <c r="B3" i="6"/>
  <c r="C2" i="6"/>
  <c r="B2" i="6" s="1"/>
  <c r="C2" i="9" l="1"/>
  <c r="B2" i="9" s="1"/>
  <c r="B3" i="9"/>
  <c r="C200" i="1"/>
  <c r="C199" i="1" l="1"/>
  <c r="B200" i="1"/>
  <c r="C198" i="1" l="1"/>
  <c r="B199" i="1"/>
  <c r="C197" i="1" l="1"/>
  <c r="B198" i="1"/>
  <c r="C196" i="1" l="1"/>
  <c r="B197" i="1"/>
  <c r="C195" i="1" l="1"/>
  <c r="B196" i="1"/>
  <c r="C194" i="1" l="1"/>
  <c r="B195" i="1"/>
  <c r="C193" i="1" l="1"/>
  <c r="B194" i="1"/>
  <c r="C192" i="1" l="1"/>
  <c r="B193" i="1"/>
  <c r="C191" i="1" l="1"/>
  <c r="B192" i="1"/>
  <c r="C190" i="1" l="1"/>
  <c r="B191" i="1"/>
  <c r="C189" i="1" l="1"/>
  <c r="B190" i="1"/>
  <c r="C188" i="1" l="1"/>
  <c r="B189" i="1"/>
  <c r="C187" i="1" l="1"/>
  <c r="B188" i="1"/>
  <c r="C186" i="1" l="1"/>
  <c r="B187" i="1"/>
  <c r="C185" i="1" l="1"/>
  <c r="B186" i="1"/>
  <c r="C184" i="1" l="1"/>
  <c r="B185" i="1"/>
  <c r="C183" i="1" l="1"/>
  <c r="B184" i="1"/>
  <c r="C182" i="1" l="1"/>
  <c r="B183" i="1"/>
  <c r="C181" i="1" l="1"/>
  <c r="B182" i="1"/>
  <c r="C180" i="1" l="1"/>
  <c r="B181" i="1"/>
  <c r="C179" i="1" l="1"/>
  <c r="B180" i="1"/>
  <c r="C178" i="1" l="1"/>
  <c r="B179" i="1"/>
  <c r="C177" i="1" l="1"/>
  <c r="B178" i="1"/>
  <c r="C176" i="1" l="1"/>
  <c r="B177" i="1"/>
  <c r="C175" i="1" l="1"/>
  <c r="B176" i="1"/>
  <c r="C174" i="1" l="1"/>
  <c r="B175" i="1"/>
  <c r="C173" i="1" l="1"/>
  <c r="B174" i="1"/>
  <c r="C172" i="1" l="1"/>
  <c r="B173" i="1"/>
  <c r="C171" i="1" l="1"/>
  <c r="B172" i="1"/>
  <c r="C170" i="1" l="1"/>
  <c r="B171" i="1"/>
  <c r="C169" i="1" l="1"/>
  <c r="B170" i="1"/>
  <c r="C168" i="1" l="1"/>
  <c r="B169" i="1"/>
  <c r="C167" i="1" l="1"/>
  <c r="B168" i="1"/>
  <c r="C166" i="1" l="1"/>
  <c r="B167" i="1"/>
  <c r="C165" i="1" l="1"/>
  <c r="B166" i="1"/>
  <c r="C164" i="1" l="1"/>
  <c r="B165" i="1"/>
  <c r="C163" i="1" l="1"/>
  <c r="B164" i="1"/>
  <c r="C162" i="1" l="1"/>
  <c r="B163" i="1"/>
  <c r="C161" i="1" l="1"/>
  <c r="B162" i="1"/>
  <c r="C160" i="1" l="1"/>
  <c r="B161" i="1"/>
  <c r="C159" i="1" l="1"/>
  <c r="B160" i="1"/>
  <c r="C158" i="1" l="1"/>
  <c r="B159" i="1"/>
  <c r="C157" i="1" l="1"/>
  <c r="B158" i="1"/>
  <c r="C156" i="1" l="1"/>
  <c r="B157" i="1"/>
  <c r="C155" i="1" l="1"/>
  <c r="B156" i="1"/>
  <c r="C154" i="1" l="1"/>
  <c r="B155" i="1"/>
  <c r="C153" i="1" l="1"/>
  <c r="B154" i="1"/>
  <c r="C152" i="1" l="1"/>
  <c r="B153" i="1"/>
  <c r="C151" i="1" l="1"/>
  <c r="B152" i="1"/>
  <c r="C150" i="1" l="1"/>
  <c r="B151" i="1"/>
  <c r="C149" i="1" l="1"/>
  <c r="B150" i="1"/>
  <c r="C148" i="1" l="1"/>
  <c r="B149" i="1"/>
  <c r="C147" i="1" l="1"/>
  <c r="B148" i="1"/>
  <c r="C146" i="1" l="1"/>
  <c r="B147" i="1"/>
  <c r="C145" i="1" l="1"/>
  <c r="B146" i="1"/>
  <c r="C144" i="1" l="1"/>
  <c r="B145" i="1"/>
  <c r="M145" i="1" s="1"/>
  <c r="C143" i="1" l="1"/>
  <c r="B144" i="1"/>
  <c r="C142" i="1" l="1"/>
  <c r="B143" i="1"/>
  <c r="C141" i="1" l="1"/>
  <c r="B142" i="1"/>
  <c r="C140" i="1" l="1"/>
  <c r="B141" i="1"/>
  <c r="C139" i="1" l="1"/>
  <c r="B140" i="1"/>
  <c r="C138" i="1" l="1"/>
  <c r="B139" i="1"/>
  <c r="C137" i="1" l="1"/>
  <c r="B138" i="1"/>
  <c r="C136" i="1" l="1"/>
  <c r="B137" i="1"/>
  <c r="C135" i="1" l="1"/>
  <c r="B136" i="1"/>
  <c r="C134" i="1" l="1"/>
  <c r="B135" i="1"/>
  <c r="M135" i="1" s="1"/>
  <c r="C133" i="1" l="1"/>
  <c r="B134" i="1"/>
  <c r="C132" i="1" l="1"/>
  <c r="B133" i="1"/>
  <c r="C131" i="1" l="1"/>
  <c r="B132" i="1"/>
  <c r="C130" i="1" l="1"/>
  <c r="B131" i="1"/>
  <c r="C129" i="1" l="1"/>
  <c r="B130" i="1"/>
  <c r="C128" i="1" l="1"/>
  <c r="B129" i="1"/>
  <c r="C127" i="1" l="1"/>
  <c r="B128" i="1"/>
  <c r="C126" i="1" l="1"/>
  <c r="B127" i="1"/>
  <c r="C125" i="1" l="1"/>
  <c r="B126" i="1"/>
  <c r="C124" i="1" l="1"/>
  <c r="B125" i="1"/>
  <c r="C123" i="1" l="1"/>
  <c r="B124" i="1"/>
  <c r="C122" i="1" l="1"/>
  <c r="B123" i="1"/>
  <c r="C121" i="1" l="1"/>
  <c r="B122" i="1"/>
  <c r="C120" i="1" l="1"/>
  <c r="B121" i="1"/>
  <c r="C119" i="1" l="1"/>
  <c r="B120" i="1"/>
  <c r="C118" i="1" l="1"/>
  <c r="B119" i="1"/>
  <c r="C117" i="1" l="1"/>
  <c r="B118" i="1"/>
  <c r="C116" i="1" l="1"/>
  <c r="B117" i="1"/>
  <c r="C115" i="1" l="1"/>
  <c r="B116" i="1"/>
  <c r="C114" i="1" l="1"/>
  <c r="B115" i="1"/>
  <c r="C113" i="1" l="1"/>
  <c r="B114" i="1"/>
  <c r="C112" i="1" l="1"/>
  <c r="B113" i="1"/>
  <c r="C111" i="1" l="1"/>
  <c r="B112" i="1"/>
  <c r="C110" i="1" l="1"/>
  <c r="B111" i="1"/>
  <c r="M111" i="1" s="1"/>
  <c r="C109" i="1" l="1"/>
  <c r="B110" i="1"/>
  <c r="C108" i="1" l="1"/>
  <c r="B109" i="1"/>
  <c r="C107" i="1" l="1"/>
  <c r="B108" i="1"/>
  <c r="C106" i="1" l="1"/>
  <c r="B107" i="1"/>
  <c r="C105" i="1" l="1"/>
  <c r="B106" i="1"/>
  <c r="C104" i="1" l="1"/>
  <c r="B105" i="1"/>
  <c r="C103" i="1" l="1"/>
  <c r="B104" i="1"/>
  <c r="C102" i="1" l="1"/>
  <c r="B103" i="1"/>
  <c r="C101" i="1" l="1"/>
  <c r="B102" i="1"/>
  <c r="C100" i="1" l="1"/>
  <c r="B101" i="1"/>
  <c r="C99" i="1" l="1"/>
  <c r="B100" i="1"/>
  <c r="C98" i="1" l="1"/>
  <c r="B99" i="1"/>
  <c r="C97" i="1" l="1"/>
  <c r="B98" i="1"/>
  <c r="C96" i="1" l="1"/>
  <c r="B97" i="1"/>
  <c r="C95" i="1" l="1"/>
  <c r="B96" i="1"/>
  <c r="C94" i="1" l="1"/>
  <c r="B95" i="1"/>
  <c r="C93" i="1" l="1"/>
  <c r="B94" i="1"/>
  <c r="C92" i="1" l="1"/>
  <c r="B93" i="1"/>
  <c r="C91" i="1" l="1"/>
  <c r="B92" i="1"/>
  <c r="C90" i="1" l="1"/>
  <c r="B91" i="1"/>
  <c r="C89" i="1" l="1"/>
  <c r="B90" i="1"/>
  <c r="C88" i="1" l="1"/>
  <c r="B89" i="1"/>
  <c r="C87" i="1" l="1"/>
  <c r="B88" i="1"/>
  <c r="C86" i="1" l="1"/>
  <c r="B87" i="1"/>
  <c r="C85" i="1" l="1"/>
  <c r="B86" i="1"/>
  <c r="C84" i="1" l="1"/>
  <c r="B85" i="1"/>
  <c r="C83" i="1" l="1"/>
  <c r="B84" i="1"/>
  <c r="C82" i="1" l="1"/>
  <c r="B83" i="1"/>
  <c r="C81" i="1" l="1"/>
  <c r="B82" i="1"/>
  <c r="C80" i="1" l="1"/>
  <c r="B81" i="1"/>
  <c r="C79" i="1" l="1"/>
  <c r="B80" i="1"/>
  <c r="C78" i="1" l="1"/>
  <c r="B79" i="1"/>
  <c r="C77" i="1" l="1"/>
  <c r="B78" i="1"/>
  <c r="C76" i="1" l="1"/>
  <c r="B77" i="1"/>
  <c r="C75" i="1" l="1"/>
  <c r="B76" i="1"/>
  <c r="C74" i="1" l="1"/>
  <c r="B75" i="1"/>
  <c r="C73" i="1" l="1"/>
  <c r="B74" i="1"/>
  <c r="C72" i="1" l="1"/>
  <c r="B73" i="1"/>
  <c r="C71" i="1" l="1"/>
  <c r="B72" i="1"/>
  <c r="C70" i="1" l="1"/>
  <c r="B71" i="1"/>
  <c r="C69" i="1" l="1"/>
  <c r="B70" i="1"/>
  <c r="C68" i="1" l="1"/>
  <c r="B69" i="1"/>
  <c r="C67" i="1" l="1"/>
  <c r="B68" i="1"/>
  <c r="C66" i="1" l="1"/>
  <c r="B67" i="1"/>
  <c r="C65" i="1" l="1"/>
  <c r="B66" i="1"/>
  <c r="C64" i="1" l="1"/>
  <c r="B65" i="1"/>
  <c r="C63" i="1" l="1"/>
  <c r="B64" i="1"/>
  <c r="C62" i="1" l="1"/>
  <c r="B63" i="1"/>
  <c r="C61" i="1" l="1"/>
  <c r="B62" i="1"/>
  <c r="C60" i="1" l="1"/>
  <c r="B61" i="1"/>
  <c r="C59" i="1" l="1"/>
  <c r="B60" i="1"/>
  <c r="C58" i="1" l="1"/>
  <c r="B59" i="1"/>
  <c r="C57" i="1" l="1"/>
  <c r="B58" i="1"/>
  <c r="C56" i="1" l="1"/>
  <c r="B57" i="1"/>
  <c r="C55" i="1" l="1"/>
  <c r="B56" i="1"/>
  <c r="C54" i="1" l="1"/>
  <c r="B55" i="1"/>
  <c r="C53" i="1" l="1"/>
  <c r="B54" i="1"/>
  <c r="C52" i="1" l="1"/>
  <c r="B53" i="1"/>
  <c r="C51" i="1" l="1"/>
  <c r="B52" i="1"/>
  <c r="C50" i="1" l="1"/>
  <c r="B51" i="1"/>
  <c r="C49" i="1" l="1"/>
  <c r="B50" i="1"/>
  <c r="C48" i="1" l="1"/>
  <c r="B49" i="1"/>
  <c r="C47" i="1" l="1"/>
  <c r="B48" i="1"/>
  <c r="C46" i="1" l="1"/>
  <c r="B47" i="1"/>
  <c r="C45" i="1" l="1"/>
  <c r="B46" i="1"/>
  <c r="C44" i="1" l="1"/>
  <c r="B45" i="1"/>
  <c r="C43" i="1" l="1"/>
  <c r="B44" i="1"/>
  <c r="C42" i="1" l="1"/>
  <c r="B43" i="1"/>
  <c r="C41" i="1" l="1"/>
  <c r="B42" i="1"/>
  <c r="C40" i="1" l="1"/>
  <c r="B41" i="1"/>
  <c r="C39" i="1" l="1"/>
  <c r="B40" i="1"/>
  <c r="C38" i="1" l="1"/>
  <c r="B39" i="1"/>
  <c r="C37" i="1" l="1"/>
  <c r="B38" i="1"/>
  <c r="C36" i="1" l="1"/>
  <c r="B37" i="1"/>
  <c r="C35" i="1" l="1"/>
  <c r="B36" i="1"/>
  <c r="C34" i="1" l="1"/>
  <c r="B35" i="1"/>
  <c r="C33" i="1" l="1"/>
  <c r="B34" i="1"/>
  <c r="C32" i="1" l="1"/>
  <c r="B33" i="1"/>
  <c r="C31" i="1" l="1"/>
  <c r="B32" i="1"/>
  <c r="C30" i="1" l="1"/>
  <c r="B31" i="1"/>
  <c r="C29" i="1" l="1"/>
  <c r="B30" i="1"/>
  <c r="C28" i="1" l="1"/>
  <c r="B29" i="1"/>
  <c r="C27" i="1" l="1"/>
  <c r="B28" i="1"/>
  <c r="C26" i="1" l="1"/>
  <c r="B27" i="1"/>
  <c r="C25" i="1" l="1"/>
  <c r="B26" i="1"/>
  <c r="C24" i="1" l="1"/>
  <c r="B25" i="1"/>
  <c r="C23" i="1" l="1"/>
  <c r="B24" i="1"/>
  <c r="M24" i="1" s="1"/>
  <c r="C22" i="1" l="1"/>
  <c r="B23" i="1"/>
  <c r="C21" i="1" l="1"/>
  <c r="B22" i="1"/>
  <c r="C20" i="1" l="1"/>
  <c r="B21" i="1"/>
  <c r="C19" i="1" l="1"/>
  <c r="B20" i="1"/>
  <c r="C18" i="1" l="1"/>
  <c r="B19" i="1"/>
  <c r="C17" i="1" l="1"/>
  <c r="B18" i="1"/>
  <c r="C16" i="1" l="1"/>
  <c r="B17" i="1"/>
  <c r="C15" i="1" l="1"/>
  <c r="B16" i="1"/>
  <c r="C14" i="1" l="1"/>
  <c r="B15" i="1"/>
  <c r="C13" i="1" l="1"/>
  <c r="B14" i="1"/>
  <c r="C12" i="1" l="1"/>
  <c r="B13" i="1"/>
  <c r="C11" i="1" l="1"/>
  <c r="B12" i="1"/>
  <c r="C10" i="1" l="1"/>
  <c r="B11" i="1"/>
  <c r="C9" i="1" l="1"/>
  <c r="B10" i="1"/>
  <c r="C8" i="1" l="1"/>
  <c r="B9" i="1"/>
  <c r="C7" i="1" l="1"/>
  <c r="B8" i="1"/>
  <c r="C6" i="1" l="1"/>
  <c r="B7" i="1"/>
  <c r="C5" i="1" l="1"/>
  <c r="B6" i="1"/>
  <c r="C4" i="1" l="1"/>
  <c r="B5" i="1"/>
  <c r="C3" i="1" l="1"/>
  <c r="B4" i="1"/>
  <c r="C2" i="1" l="1"/>
  <c r="B2" i="1" s="1"/>
  <c r="B3" i="1"/>
  <c r="C200" i="5" l="1"/>
  <c r="C199" i="5" s="1"/>
  <c r="B199" i="5" l="1"/>
  <c r="C198" i="5"/>
  <c r="B200" i="5"/>
  <c r="C197" i="5" l="1"/>
  <c r="B198" i="5"/>
  <c r="B197" i="5" l="1"/>
  <c r="C196" i="5"/>
  <c r="B196" i="5" l="1"/>
  <c r="C195" i="5"/>
  <c r="C194" i="5" l="1"/>
  <c r="B195" i="5"/>
  <c r="B194" i="5" l="1"/>
  <c r="C193" i="5"/>
  <c r="C192" i="5" l="1"/>
  <c r="B193" i="5"/>
  <c r="C191" i="5" l="1"/>
  <c r="B192" i="5"/>
  <c r="B191" i="5" l="1"/>
  <c r="C190" i="5"/>
  <c r="B190" i="5" l="1"/>
  <c r="C189" i="5"/>
  <c r="C188" i="5" l="1"/>
  <c r="B189" i="5"/>
  <c r="B188" i="5" l="1"/>
  <c r="C187" i="5"/>
  <c r="C186" i="5" l="1"/>
  <c r="B186" i="5" s="1"/>
  <c r="B187" i="5"/>
  <c r="C185" i="5" l="1"/>
  <c r="C184" i="5" s="1"/>
  <c r="B184" i="5" l="1"/>
  <c r="C183" i="5"/>
  <c r="B185" i="5"/>
  <c r="C182" i="5" l="1"/>
  <c r="B183" i="5"/>
  <c r="B182" i="5" l="1"/>
  <c r="C181" i="5"/>
  <c r="C180" i="5" l="1"/>
  <c r="B181" i="5"/>
  <c r="B180" i="5" l="1"/>
  <c r="C179" i="5"/>
  <c r="C178" i="5" l="1"/>
  <c r="B179" i="5"/>
  <c r="B178" i="5" l="1"/>
  <c r="C177" i="5"/>
  <c r="C176" i="5" l="1"/>
  <c r="B177" i="5"/>
  <c r="B176" i="5" l="1"/>
  <c r="C175" i="5"/>
  <c r="C174" i="5" l="1"/>
  <c r="B175" i="5"/>
  <c r="C173" i="5" l="1"/>
  <c r="B174" i="5"/>
  <c r="C172" i="5" l="1"/>
  <c r="B173" i="5"/>
  <c r="B172" i="5" l="1"/>
  <c r="C171" i="5"/>
  <c r="B171" i="5" l="1"/>
  <c r="C170" i="5"/>
  <c r="B170" i="5" l="1"/>
  <c r="C169" i="5"/>
  <c r="C168" i="5" l="1"/>
  <c r="B169" i="5"/>
  <c r="B168" i="5" l="1"/>
  <c r="C167" i="5"/>
  <c r="B167" i="5" l="1"/>
  <c r="C166" i="5"/>
  <c r="C165" i="5" l="1"/>
  <c r="B166" i="5"/>
  <c r="C164" i="5" l="1"/>
  <c r="B165" i="5"/>
  <c r="C163" i="5" l="1"/>
  <c r="B164" i="5"/>
  <c r="B163" i="5" l="1"/>
  <c r="C162" i="5"/>
  <c r="B162" i="5" l="1"/>
  <c r="C161" i="5"/>
  <c r="B161" i="5" l="1"/>
  <c r="C160" i="5"/>
  <c r="B160" i="5" l="1"/>
  <c r="C159" i="5"/>
  <c r="C158" i="5" l="1"/>
  <c r="B159" i="5"/>
  <c r="C157" i="5" l="1"/>
  <c r="B158" i="5"/>
  <c r="B157" i="5" l="1"/>
  <c r="C156" i="5"/>
  <c r="B156" i="5" l="1"/>
  <c r="C155" i="5"/>
  <c r="C154" i="5" l="1"/>
  <c r="B155" i="5"/>
  <c r="B154" i="5" l="1"/>
  <c r="C153" i="5"/>
  <c r="C152" i="5" l="1"/>
  <c r="B153" i="5"/>
  <c r="B152" i="5" l="1"/>
  <c r="C151" i="5"/>
  <c r="C150" i="5" l="1"/>
  <c r="B151" i="5"/>
  <c r="B150" i="5" l="1"/>
  <c r="C149" i="5"/>
  <c r="C148" i="5" l="1"/>
  <c r="B149" i="5"/>
  <c r="B148" i="5" l="1"/>
  <c r="C147" i="5"/>
  <c r="B147" i="5" l="1"/>
  <c r="C146" i="5"/>
  <c r="C145" i="5" l="1"/>
  <c r="B146" i="5"/>
  <c r="B145" i="5" l="1"/>
  <c r="C144" i="5"/>
  <c r="C143" i="5" l="1"/>
  <c r="B144" i="5"/>
  <c r="C142" i="5" l="1"/>
  <c r="B143" i="5"/>
  <c r="B142" i="5" l="1"/>
  <c r="C141" i="5"/>
  <c r="C140" i="5" l="1"/>
  <c r="B141" i="5"/>
  <c r="B140" i="5" l="1"/>
  <c r="C139" i="5"/>
  <c r="C138" i="5" l="1"/>
  <c r="B139" i="5"/>
  <c r="B138" i="5" l="1"/>
  <c r="C137" i="5"/>
  <c r="C136" i="5" l="1"/>
  <c r="B137" i="5"/>
  <c r="C135" i="5" l="1"/>
  <c r="B136" i="5"/>
  <c r="C134" i="5" l="1"/>
  <c r="B135" i="5"/>
  <c r="C133" i="5" l="1"/>
  <c r="B134" i="5"/>
  <c r="C132" i="5" l="1"/>
  <c r="B133" i="5"/>
  <c r="B132" i="5" l="1"/>
  <c r="C131" i="5"/>
  <c r="B131" i="5" l="1"/>
  <c r="C130" i="5"/>
  <c r="C129" i="5" l="1"/>
  <c r="B130" i="5"/>
  <c r="C128" i="5" l="1"/>
  <c r="B129" i="5"/>
  <c r="B128" i="5" l="1"/>
  <c r="C127" i="5"/>
  <c r="C126" i="5" l="1"/>
  <c r="B127" i="5"/>
  <c r="C125" i="5" l="1"/>
  <c r="B126" i="5"/>
  <c r="B125" i="5" l="1"/>
  <c r="C124" i="5"/>
  <c r="C123" i="5" l="1"/>
  <c r="B124" i="5"/>
  <c r="B123" i="5" l="1"/>
  <c r="C122" i="5"/>
  <c r="C121" i="5" l="1"/>
  <c r="B122" i="5"/>
  <c r="B121" i="5" l="1"/>
  <c r="C120" i="5"/>
  <c r="C119" i="5" l="1"/>
  <c r="B120" i="5"/>
  <c r="B119" i="5" l="1"/>
  <c r="C118" i="5"/>
  <c r="B118" i="5" l="1"/>
  <c r="C117" i="5"/>
  <c r="C116" i="5" l="1"/>
  <c r="B117" i="5"/>
  <c r="B116" i="5" l="1"/>
  <c r="C115" i="5"/>
  <c r="C114" i="5" l="1"/>
  <c r="B115" i="5"/>
  <c r="B114" i="5" l="1"/>
  <c r="C113" i="5"/>
  <c r="C112" i="5" l="1"/>
  <c r="B113" i="5"/>
  <c r="C111" i="5" l="1"/>
  <c r="B112" i="5"/>
  <c r="B111" i="5" l="1"/>
  <c r="C110" i="5"/>
  <c r="B110" i="5" l="1"/>
  <c r="C109" i="5"/>
  <c r="C108" i="5" l="1"/>
  <c r="B109" i="5"/>
  <c r="B108" i="5" l="1"/>
  <c r="C107" i="5"/>
  <c r="B107" i="5" l="1"/>
  <c r="C106" i="5"/>
  <c r="C105" i="5" l="1"/>
  <c r="B106" i="5"/>
  <c r="C104" i="5" l="1"/>
  <c r="B105" i="5"/>
  <c r="B104" i="5" l="1"/>
  <c r="C103" i="5"/>
  <c r="B103" i="5" l="1"/>
  <c r="C102" i="5"/>
  <c r="C101" i="5" l="1"/>
  <c r="B102" i="5"/>
  <c r="B101" i="5" l="1"/>
  <c r="C100" i="5"/>
  <c r="C99" i="5" l="1"/>
  <c r="B100" i="5"/>
  <c r="B99" i="5" l="1"/>
  <c r="C98" i="5"/>
  <c r="C97" i="5" l="1"/>
  <c r="B98" i="5"/>
  <c r="B97" i="5" l="1"/>
  <c r="C96" i="5"/>
  <c r="B96" i="5" l="1"/>
  <c r="C95" i="5"/>
  <c r="B95" i="5" l="1"/>
  <c r="C94" i="5"/>
  <c r="B94" i="5" l="1"/>
  <c r="C93" i="5"/>
  <c r="B93" i="5" l="1"/>
  <c r="C92" i="5"/>
  <c r="B92" i="5" l="1"/>
  <c r="C91" i="5"/>
  <c r="C90" i="5" l="1"/>
  <c r="B91" i="5"/>
  <c r="B90" i="5" l="1"/>
  <c r="C89" i="5"/>
  <c r="B89" i="5" l="1"/>
  <c r="C88" i="5"/>
  <c r="C87" i="5" l="1"/>
  <c r="B88" i="5"/>
  <c r="B87" i="5" l="1"/>
  <c r="C86" i="5"/>
  <c r="C85" i="5" l="1"/>
  <c r="B86" i="5"/>
  <c r="B85" i="5" l="1"/>
  <c r="C84" i="5"/>
  <c r="C83" i="5" l="1"/>
  <c r="B84" i="5"/>
  <c r="C82" i="5" l="1"/>
  <c r="B83" i="5"/>
  <c r="C81" i="5" l="1"/>
  <c r="B82" i="5"/>
  <c r="C80" i="5" l="1"/>
  <c r="B81" i="5"/>
  <c r="B80" i="5" l="1"/>
  <c r="C79" i="5"/>
  <c r="B79" i="5" l="1"/>
  <c r="C78" i="5"/>
  <c r="B78" i="5" l="1"/>
  <c r="C77" i="5"/>
  <c r="B77" i="5" l="1"/>
  <c r="C76" i="5"/>
  <c r="C75" i="5" l="1"/>
  <c r="B76" i="5"/>
  <c r="C74" i="5" l="1"/>
  <c r="B75" i="5"/>
  <c r="B74" i="5" l="1"/>
  <c r="C73" i="5"/>
  <c r="C72" i="5" l="1"/>
  <c r="B73" i="5"/>
  <c r="B72" i="5" l="1"/>
  <c r="C71" i="5"/>
  <c r="C70" i="5" l="1"/>
  <c r="B71" i="5"/>
  <c r="B70" i="5" l="1"/>
  <c r="C69" i="5"/>
  <c r="C68" i="5" l="1"/>
  <c r="B69" i="5"/>
  <c r="B68" i="5" l="1"/>
  <c r="C67" i="5"/>
  <c r="B67" i="5" l="1"/>
  <c r="C66" i="5"/>
  <c r="B66" i="5" l="1"/>
  <c r="C65" i="5"/>
  <c r="C64" i="5" l="1"/>
  <c r="B65" i="5"/>
  <c r="B64" i="5" l="1"/>
  <c r="C63" i="5"/>
  <c r="C62" i="5" l="1"/>
  <c r="B63" i="5"/>
  <c r="B62" i="5" l="1"/>
  <c r="C61" i="5"/>
  <c r="B61" i="5" l="1"/>
  <c r="C60" i="5"/>
  <c r="B60" i="5" l="1"/>
  <c r="C59" i="5"/>
  <c r="C58" i="5" l="1"/>
  <c r="B59" i="5"/>
  <c r="B58" i="5" l="1"/>
  <c r="C57" i="5"/>
  <c r="C56" i="5" l="1"/>
  <c r="B57" i="5"/>
  <c r="B56" i="5" l="1"/>
  <c r="C55" i="5"/>
  <c r="B55" i="5" l="1"/>
  <c r="C54" i="5"/>
  <c r="C53" i="5" l="1"/>
  <c r="B54" i="5"/>
  <c r="B53" i="5" l="1"/>
  <c r="C52" i="5"/>
  <c r="C51" i="5" l="1"/>
  <c r="B52" i="5"/>
  <c r="C50" i="5" l="1"/>
  <c r="B51" i="5"/>
  <c r="B50" i="5" l="1"/>
  <c r="C49" i="5"/>
  <c r="C48" i="5" l="1"/>
  <c r="B49" i="5"/>
  <c r="C47" i="5" l="1"/>
  <c r="B48" i="5"/>
  <c r="C46" i="5" l="1"/>
  <c r="B47" i="5"/>
  <c r="C45" i="5" l="1"/>
  <c r="B46" i="5"/>
  <c r="B45" i="5" l="1"/>
  <c r="C44" i="5"/>
  <c r="C43" i="5" l="1"/>
  <c r="B44" i="5"/>
  <c r="C42" i="5" l="1"/>
  <c r="B43" i="5"/>
  <c r="B42" i="5" l="1"/>
  <c r="C41" i="5"/>
  <c r="C40" i="5" l="1"/>
  <c r="B41" i="5"/>
  <c r="C39" i="5" l="1"/>
  <c r="B40" i="5"/>
  <c r="B39" i="5" l="1"/>
  <c r="C38" i="5"/>
  <c r="C37" i="5" l="1"/>
  <c r="B38" i="5"/>
  <c r="C36" i="5" l="1"/>
  <c r="B37" i="5"/>
  <c r="B36" i="5" l="1"/>
  <c r="C35" i="5"/>
  <c r="C34" i="5" l="1"/>
  <c r="B35" i="5"/>
  <c r="B34" i="5" l="1"/>
  <c r="C33" i="5"/>
  <c r="B33" i="5" l="1"/>
  <c r="C32" i="5"/>
  <c r="C31" i="5" l="1"/>
  <c r="B32" i="5"/>
  <c r="C30" i="5" l="1"/>
  <c r="B31" i="5"/>
  <c r="C29" i="5" l="1"/>
  <c r="B30" i="5"/>
  <c r="C28" i="5" l="1"/>
  <c r="B29" i="5"/>
  <c r="B28" i="5" l="1"/>
  <c r="C27" i="5"/>
  <c r="B27" i="5" l="1"/>
  <c r="C26" i="5"/>
  <c r="B26" i="5" l="1"/>
  <c r="C25" i="5"/>
  <c r="C24" i="5" l="1"/>
  <c r="B25" i="5"/>
  <c r="B24" i="5" l="1"/>
  <c r="C23" i="5"/>
  <c r="C22" i="5" l="1"/>
  <c r="B23" i="5"/>
  <c r="C21" i="5" l="1"/>
  <c r="B22" i="5"/>
  <c r="B21" i="5" l="1"/>
  <c r="C20" i="5"/>
  <c r="B20" i="5" l="1"/>
  <c r="C19" i="5"/>
  <c r="C18" i="5" l="1"/>
  <c r="B19" i="5"/>
  <c r="C17" i="5" l="1"/>
  <c r="B18" i="5"/>
  <c r="C16" i="5" l="1"/>
  <c r="B17" i="5"/>
  <c r="C15" i="5" l="1"/>
  <c r="B16" i="5"/>
  <c r="C14" i="5" l="1"/>
  <c r="B15" i="5"/>
  <c r="C13" i="5" l="1"/>
  <c r="B14" i="5"/>
  <c r="B13" i="5" l="1"/>
  <c r="C12" i="5"/>
  <c r="B12" i="5" l="1"/>
  <c r="C11" i="5"/>
  <c r="C10" i="5" l="1"/>
  <c r="B11" i="5"/>
  <c r="B10" i="5" l="1"/>
  <c r="C9" i="5"/>
  <c r="B9" i="5" l="1"/>
  <c r="C8" i="5"/>
  <c r="C7" i="5" l="1"/>
  <c r="B8" i="5"/>
  <c r="B7" i="5" l="1"/>
  <c r="C6" i="5"/>
  <c r="C5" i="5" l="1"/>
  <c r="B6" i="5"/>
  <c r="C4" i="5" l="1"/>
  <c r="B5" i="5"/>
  <c r="B4" i="5" l="1"/>
  <c r="C3" i="5"/>
  <c r="B3" i="5" l="1"/>
  <c r="C2" i="5"/>
  <c r="B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tc={5211D131-FB9E-4693-A1CF-EF4269878910}</author>
    <author>tc={E7DDABCD-B859-4D67-8C5D-FEA960E2B6B8}</author>
    <author>tc={EE063D38-ED9C-412E-A1CC-C69586306DFF}</author>
    <author>tc={4804A919-E3BE-43FC-B153-438BC62EA784}</author>
    <author>tc={B3B9C23B-CD1A-4BBF-9DB5-3A94A8D9963C}</author>
    <author>tc={BD7258A3-376D-4B18-ACC0-A3FDEAF06861}</author>
  </authors>
  <commentList>
    <comment ref="B1" authorId="0" shapeId="0" xr:uid="{5211D131-FB9E-4693-A1CF-EF4269878910}">
      <text>
        <t>[Threaded comment]
Your version of Excel allows you to read this threaded comment; however, any edits to it will get removed if the file is opened in a newer version of Excel. Learn more: https://go.microsoft.com/fwlink/?linkid=870924
Comment:
    =WEEKDAY(C16,2)</t>
      </text>
    </comment>
    <comment ref="I1" authorId="1" shapeId="0" xr:uid="{E7DDABCD-B859-4D67-8C5D-FEA960E2B6B8}">
      <text>
        <t>[Threaded comment]
Your version of Excel allows you to read this threaded comment; however, any edits to it will get removed if the file is opened in a newer version of Excel. Learn more: https://go.microsoft.com/fwlink/?linkid=870924
Comment:
    Google_Sales_Corr</t>
      </text>
    </comment>
    <comment ref="J1" authorId="2" shapeId="0" xr:uid="{EE063D38-ED9C-412E-A1CC-C69586306DFF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=IF(ISBLANK(E16),U$19,E16)</t>
      </text>
    </comment>
    <comment ref="K1" authorId="3" shapeId="0" xr:uid="{4804A919-E3BE-43FC-B153-438BC62EA784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=IF(ISBLANK(F16),U$20,F16)</t>
      </text>
    </comment>
    <comment ref="L1" authorId="4" shapeId="0" xr:uid="{B3B9C23B-CD1A-4BBF-9DB5-3A94A8D9963C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=IF(ISBLANK(G16),U$21,G16)</t>
      </text>
    </comment>
    <comment ref="M1" authorId="5" shapeId="0" xr:uid="{BD7258A3-376D-4B18-ACC0-A3FDEAF06861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=IF(ISBLANK(H16),VLOOKUP(B16,$N$1:$O$9,2,TRUE),H16)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tc={4EA5FB4B-E00D-4B19-92C2-4DC553944AC2}</author>
  </authors>
  <commentList>
    <comment ref="D1" authorId="0" shapeId="0" xr:uid="{4EA5FB4B-E00D-4B19-92C2-4DC553944AC2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=IF(ISBLANK(B5),AVERAGE(B2:B8),B5)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tc={14E57C5A-F61F-4957-AC6B-7B51C65D41CE}</author>
    <author>tc={F5BA56C0-137B-4C08-8AFF-80EE56157095}</author>
    <author>tc={FCAB3F85-6BD0-4EB1-8F0F-85F40CC18CF7}</author>
    <author>tc={7DD582DD-0AA5-474C-8D78-ACF8983A121D}</author>
    <author>tc={BDED082B-B914-42AC-977D-58A490F22167}</author>
    <author>tc={D6BC0DDB-65FA-4267-A19F-896A5D7743FF}</author>
    <author>tc={B4A0C634-A794-403E-BF66-00F755274F3A}</author>
  </authors>
  <commentList>
    <comment ref="A9" authorId="0" shapeId="0" xr:uid="{14E57C5A-F61F-4957-AC6B-7B51C65D41CE}">
      <text>
        <t>[Threaded comment]
Your version of Excel allows you to read this threaded comment; however, any edits to it will get removed if the file is opened in a newer version of Excel. Learn more: https://go.microsoft.com/fwlink/?linkid=870924
Comment:
    Farkındalık</t>
      </text>
    </comment>
    <comment ref="A11" authorId="1" shapeId="0" xr:uid="{F5BA56C0-137B-4C08-8AFF-80EE56157095}">
      <text>
        <t>[Threaded comment]
Your version of Excel allows you to read this threaded comment; however, any edits to it will get removed if the file is opened in a newer version of Excel. Learn more: https://go.microsoft.com/fwlink/?linkid=870924
Comment:
    Üye Olma</t>
      </text>
    </comment>
    <comment ref="B25" authorId="2" shapeId="0" xr:uid="{FCAB3F85-6BD0-4EB1-8F0F-85F40CC18CF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
Churn Rate= 1- Retention</t>
      </text>
    </comment>
    <comment ref="B26" authorId="3" shapeId="0" xr:uid="{7DD582DD-0AA5-474C-8D78-ACF8983A121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Formula:
LT = 1 ÷ Churn </t>
      </text>
    </comment>
    <comment ref="B27" authorId="4" shapeId="0" xr:uid="{BDED082B-B914-42AC-977D-58A490F2216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Formula:
LT *12</t>
      </text>
    </comment>
    <comment ref="B29" authorId="5" shapeId="0" xr:uid="{D6BC0DDB-65FA-4267-A19F-896A5D7743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Formula:
LTV = Monthly Value × LT (months)  </t>
      </text>
    </comment>
    <comment ref="B34" authorId="6" shapeId="0" xr:uid="{B4A0C634-A794-403E-BF66-00F755274F3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
=IF(B37&gt;3,"✅ Feasible","Unfeasible")</t>
      </text>
    </comment>
  </commentList>
</comments>
</file>

<file path=xl/sharedStrings.xml><?xml version="1.0" encoding="utf-8"?>
<sst xmlns="http://schemas.openxmlformats.org/spreadsheetml/2006/main" count="201" uniqueCount="109">
  <si>
    <t>ID</t>
  </si>
  <si>
    <t>DAYS</t>
  </si>
  <si>
    <t>GoogleAds</t>
  </si>
  <si>
    <t>Meta</t>
  </si>
  <si>
    <t>Influencer</t>
  </si>
  <si>
    <t>SALES</t>
  </si>
  <si>
    <t>Retention</t>
  </si>
  <si>
    <t>1000 $</t>
  </si>
  <si>
    <t>TIKTOK</t>
  </si>
  <si>
    <t>AVERAGE</t>
  </si>
  <si>
    <t>MEDIAN</t>
  </si>
  <si>
    <t>STD_DEV</t>
  </si>
  <si>
    <t>GoogleAds_</t>
  </si>
  <si>
    <t>Meta_</t>
  </si>
  <si>
    <t>Influencer_</t>
  </si>
  <si>
    <t>TIKTOK_</t>
  </si>
  <si>
    <t>SALES_</t>
  </si>
  <si>
    <t>WEEKDAY</t>
  </si>
  <si>
    <t>Grand Total</t>
  </si>
  <si>
    <t>Average of SALES</t>
  </si>
  <si>
    <t>Q1</t>
  </si>
  <si>
    <t>Q3</t>
  </si>
  <si>
    <t>IQR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</si>
  <si>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</si>
  <si>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</si>
  <si>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</si>
  <si>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</si>
  <si>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</si>
  <si>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</si>
  <si>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</si>
  <si>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</si>
  <si>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</si>
  <si>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</si>
  <si>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</si>
  <si>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</si>
  <si>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</si>
  <si>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</si>
  <si>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</si>
  <si>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</si>
  <si>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</si>
  <si>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</si>
  <si>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</si>
  <si>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</si>
  <si>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</si>
  <si>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</si>
  <si>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</si>
  <si>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</si>
  <si>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LTV</t>
  </si>
  <si>
    <t>Missing Count</t>
  </si>
  <si>
    <t>GOOGLE</t>
  </si>
  <si>
    <t>Variable Name</t>
  </si>
  <si>
    <t>Total Observations</t>
  </si>
  <si>
    <t>Missing Rate (%)</t>
  </si>
  <si>
    <t>Data Type</t>
  </si>
  <si>
    <t>Imputation Method</t>
  </si>
  <si>
    <t>Numeric</t>
  </si>
  <si>
    <t>Median</t>
  </si>
  <si>
    <t>Table 1:  Missing Value &amp; Descriptive Statistics Analysis</t>
  </si>
  <si>
    <t>CV (%)</t>
  </si>
  <si>
    <t>GOOGLE_ADS</t>
  </si>
  <si>
    <t>META</t>
  </si>
  <si>
    <t>INFLUENCER</t>
  </si>
  <si>
    <t>CORRELATION (w/ GoogleAds )</t>
  </si>
  <si>
    <t>Correlation</t>
  </si>
  <si>
    <t>Weekday</t>
  </si>
  <si>
    <t>Average by Day (Pivot)</t>
  </si>
  <si>
    <t>Lower Bound</t>
  </si>
  <si>
    <t>Upper Bound</t>
  </si>
  <si>
    <t>Outlier Count</t>
  </si>
  <si>
    <t>Table 1: Outlier Detection via IQR Method</t>
  </si>
  <si>
    <t>Variable</t>
  </si>
  <si>
    <t>Original Value</t>
  </si>
  <si>
    <t>Capped Value</t>
  </si>
  <si>
    <t>Table 2: Capped Observation Examples</t>
  </si>
  <si>
    <t>Table 1:  Cleaned Dataset Variable Overview</t>
  </si>
  <si>
    <t>Table: ROI-Based Distribution of $100 Investment</t>
  </si>
  <si>
    <t>Investment ($)</t>
  </si>
  <si>
    <t>Expected Return ($)</t>
  </si>
  <si>
    <t>Justification</t>
  </si>
  <si>
    <t>Highest impact</t>
  </si>
  <si>
    <t>Second-best performer</t>
  </si>
  <si>
    <t>Moderate impact</t>
  </si>
  <si>
    <t>Least impact</t>
  </si>
  <si>
    <t>ROI</t>
  </si>
  <si>
    <t>Stage</t>
  </si>
  <si>
    <t>Number of People</t>
  </si>
  <si>
    <t>Conversion Rate</t>
  </si>
  <si>
    <t>Cumulative Conversion</t>
  </si>
  <si>
    <t>Awareness</t>
  </si>
  <si>
    <t>App Downloads</t>
  </si>
  <si>
    <t>Registrations</t>
  </si>
  <si>
    <t>Purchases</t>
  </si>
  <si>
    <t>1. User Conversion Funnel</t>
  </si>
  <si>
    <t>2. Ad Spend and CAC</t>
  </si>
  <si>
    <t>Total Cost (₺)</t>
  </si>
  <si>
    <t>People Reached</t>
  </si>
  <si>
    <t>Cost per Person (₺)</t>
  </si>
  <si>
    <t>3. Customer Lifetime Value (LTV)</t>
  </si>
  <si>
    <t>Metric</t>
  </si>
  <si>
    <t>Value</t>
  </si>
  <si>
    <t>Churn Rate (Annual)</t>
  </si>
  <si>
    <t>Customer Lifetime (Years)</t>
  </si>
  <si>
    <t>Customer Lifetime (Months)</t>
  </si>
  <si>
    <t>Monthly Revenue per User</t>
  </si>
  <si>
    <t>4. LTV / CAC Ratio and Result</t>
  </si>
  <si>
    <t>LTV / CAC</t>
  </si>
  <si>
    <t>Outcome</t>
  </si>
  <si>
    <t>Customer Acquisition Cost (CAC):</t>
  </si>
  <si>
    <t xml:space="preserve">Advertising Spending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</si>
</sst>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_(&quot;₺&quot;* #,##0.00_);_(&quot;₺&quot;* \(#,##0.00\);_(&quot;₺&quot;* &quot;-&quot;??_);_(@_)"/>
    <numFmt numFmtId="165" formatCode="_-* #,##0_-;\-* #,##0_-;_-* &quot;-&quot;??_-;_-@"/>
    <numFmt numFmtId="175" formatCode="0.0%"/>
    <numFmt numFmtId="176" formatCode="_([$$-409]* #,##0.00_);_([$$-409]* \(#,##0.00\);_([$$-409]* &quot;-&quot;??_);_(@_)"/>
    <numFmt numFmtId="179" formatCode="_([$$-409]* #,##0_);_([$$-409]* \(#,##0\);_([$$-409]* &quot;-&quot;??_);_(@_)"/>
  </numFmts>
  <fonts count="17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scheme val="minor"/>
    </font>
    <font>
      <sz val="9"/>
      <color indexed="81"/>
      <name val="Tahoma"/>
      <charset val="1"/>
    </font>
    <font>
      <b/>
      <sz val="12"/>
      <color theme="1"/>
      <name val="Calibri"/>
      <family val="2"/>
      <charset val="162"/>
    </font>
    <font>
      <sz val="9"/>
      <color indexed="81"/>
      <name val="Tahoma"/>
      <family val="2"/>
      <charset val="162"/>
    </font>
    <font>
      <b/>
      <sz val="12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sz val="12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Calibri"/>
      <family val="2"/>
      <charset val="16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rgb="FFE2EFD9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9" tint="0.59999389629810485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E2EF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4" tint="-0.499984740745262"/>
      </left>
      <right style="thin">
        <color theme="0" tint="-0.249977111117893"/>
      </right>
      <top style="medium">
        <color theme="4" tint="-0.499984740745262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4" tint="-0.499984740745262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4" tint="-0.499984740745262"/>
      </right>
      <top style="medium">
        <color theme="4" tint="-0.499984740745262"/>
      </top>
      <bottom style="thin">
        <color theme="0" tint="-0.249977111117893"/>
      </bottom>
      <diagonal/>
    </border>
    <border>
      <left style="medium">
        <color theme="4" tint="-0.499984740745262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4" tint="-0.499984740745262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4" tint="-0.499984740745262"/>
      </left>
      <right style="thin">
        <color theme="0" tint="-0.249977111117893"/>
      </right>
      <top style="thin">
        <color theme="0" tint="-0.249977111117893"/>
      </top>
      <bottom style="medium">
        <color theme="4" tint="-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4" tint="-0.499984740745262"/>
      </bottom>
      <diagonal/>
    </border>
    <border>
      <left style="thin">
        <color theme="0" tint="-0.249977111117893"/>
      </left>
      <right style="medium">
        <color theme="4" tint="-0.499984740745262"/>
      </right>
      <top style="thin">
        <color theme="0" tint="-0.249977111117893"/>
      </top>
      <bottom style="medium">
        <color theme="4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4" tint="-0.499984740745262"/>
      </left>
      <right style="thin">
        <color theme="0" tint="-0.14999847407452621"/>
      </right>
      <top style="medium">
        <color theme="4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4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4" tint="-0.499984740745262"/>
      </right>
      <top style="medium">
        <color theme="4" tint="-0.499984740745262"/>
      </top>
      <bottom style="thin">
        <color theme="0" tint="-0.14999847407452621"/>
      </bottom>
      <diagonal/>
    </border>
    <border>
      <left style="medium">
        <color theme="4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4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4" tint="-0.499984740745262"/>
      </left>
      <right style="thin">
        <color theme="0" tint="-0.14999847407452621"/>
      </right>
      <top style="thin">
        <color theme="0" tint="-0.14999847407452621"/>
      </top>
      <bottom style="medium">
        <color theme="4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theme="4" tint="-0.499984740745262"/>
      </bottom>
      <diagonal/>
    </border>
    <border>
      <left style="thin">
        <color theme="0" tint="-0.14999847407452621"/>
      </left>
      <right style="medium">
        <color theme="4" tint="-0.499984740745262"/>
      </right>
      <top style="thin">
        <color theme="0" tint="-0.14999847407452621"/>
      </top>
      <bottom style="medium">
        <color theme="4" tint="-0.499984740745262"/>
      </bottom>
      <diagonal/>
    </border>
    <border>
      <left style="medium">
        <color theme="9" tint="-0.499984740745262"/>
      </left>
      <right style="thin">
        <color theme="0" tint="-0.14999847407452621"/>
      </right>
      <top style="medium">
        <color theme="9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9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9" tint="-0.499984740745262"/>
      </right>
      <top style="medium">
        <color theme="9" tint="-0.499984740745262"/>
      </top>
      <bottom style="thin">
        <color theme="0" tint="-0.14999847407452621"/>
      </bottom>
      <diagonal/>
    </border>
    <border>
      <left style="medium">
        <color theme="9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9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9" tint="-0.499984740745262"/>
      </left>
      <right style="thin">
        <color theme="0" tint="-0.14999847407452621"/>
      </right>
      <top style="thin">
        <color theme="0" tint="-0.14999847407452621"/>
      </top>
      <bottom style="medium">
        <color theme="9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theme="9" tint="-0.499984740745262"/>
      </bottom>
      <diagonal/>
    </border>
    <border>
      <left style="thin">
        <color theme="0" tint="-0.14999847407452621"/>
      </left>
      <right style="medium">
        <color theme="9" tint="-0.499984740745262"/>
      </right>
      <top style="thin">
        <color theme="0" tint="-0.14999847407452621"/>
      </top>
      <bottom style="medium">
        <color theme="9" tint="-0.499984740745262"/>
      </bottom>
      <diagonal/>
    </border>
    <border>
      <left style="medium">
        <color theme="1" tint="0.249977111117893"/>
      </left>
      <right/>
      <top style="medium">
        <color theme="1" tint="0.249977111117893"/>
      </top>
      <bottom/>
      <diagonal/>
    </border>
    <border>
      <left/>
      <right style="medium">
        <color theme="1" tint="0.249977111117893"/>
      </right>
      <top style="medium">
        <color theme="1" tint="0.249977111117893"/>
      </top>
      <bottom/>
      <diagonal/>
    </border>
    <border>
      <left style="medium">
        <color theme="1" tint="0.249977111117893"/>
      </left>
      <right/>
      <top/>
      <bottom/>
      <diagonal/>
    </border>
    <border>
      <left/>
      <right style="medium">
        <color theme="1" tint="0.249977111117893"/>
      </right>
      <top/>
      <bottom/>
      <diagonal/>
    </border>
    <border>
      <left style="medium">
        <color theme="1" tint="0.249977111117893"/>
      </left>
      <right/>
      <top/>
      <bottom style="medium">
        <color theme="1" tint="0.249977111117893"/>
      </bottom>
      <diagonal/>
    </border>
    <border>
      <left/>
      <right style="medium">
        <color theme="1" tint="0.249977111117893"/>
      </right>
      <top/>
      <bottom style="medium">
        <color theme="1" tint="0.249977111117893"/>
      </bottom>
      <diagonal/>
    </border>
    <border>
      <left style="medium">
        <color theme="1" tint="0.249977111117893"/>
      </left>
      <right style="thin">
        <color theme="0" tint="-0.249977111117893"/>
      </right>
      <top style="medium">
        <color theme="1" tint="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1" tint="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1" tint="0.249977111117893"/>
      </right>
      <top style="medium">
        <color theme="1" tint="0.249977111117893"/>
      </top>
      <bottom style="thin">
        <color theme="0" tint="-0.249977111117893"/>
      </bottom>
      <diagonal/>
    </border>
    <border>
      <left style="medium">
        <color theme="1" tint="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1" tint="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1" tint="0.249977111117893"/>
      </left>
      <right style="thin">
        <color theme="0" tint="-0.249977111117893"/>
      </right>
      <top style="thin">
        <color theme="0" tint="-0.249977111117893"/>
      </top>
      <bottom style="medium">
        <color theme="1" tint="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1" tint="0.249977111117893"/>
      </bottom>
      <diagonal/>
    </border>
    <border>
      <left style="thin">
        <color theme="0" tint="-0.249977111117893"/>
      </left>
      <right style="medium">
        <color theme="1" tint="0.249977111117893"/>
      </right>
      <top style="thin">
        <color theme="0" tint="-0.249977111117893"/>
      </top>
      <bottom style="medium">
        <color theme="1" tint="0.249977111117893"/>
      </bottom>
      <diagonal/>
    </border>
    <border>
      <left style="medium">
        <color theme="1" tint="0.249977111117893"/>
      </left>
      <right style="thin">
        <color theme="0" tint="-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 style="thin">
        <color theme="0" tint="-0.249977111117893"/>
      </left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1"/>
  </cellStyleXfs>
  <cellXfs count="162">
    <xf numFmtId="0" fontId="0" fillId="0" borderId="0" xfId="0"/>
    <xf numFmtId="0" fontId="4" fillId="0" borderId="0" xfId="0" applyFont="1" applyAlignment="1">
      <alignment vertical="center"/>
    </xf>
    <xf numFmtId="0" fontId="1" fillId="0" borderId="0" xfId="0" applyFont="1"/>
    <xf numFmtId="2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7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Continuous"/>
    </xf>
    <xf numFmtId="164" fontId="0" fillId="0" borderId="0" xfId="0" applyNumberFormat="1"/>
    <xf numFmtId="0" fontId="5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/>
    </xf>
    <xf numFmtId="0" fontId="6" fillId="0" borderId="1" xfId="3"/>
    <xf numFmtId="0" fontId="2" fillId="0" borderId="4" xfId="3" applyFont="1" applyBorder="1" applyAlignment="1">
      <alignment horizontal="center"/>
    </xf>
    <xf numFmtId="14" fontId="2" fillId="0" borderId="4" xfId="3" applyNumberFormat="1" applyFont="1" applyBorder="1" applyAlignment="1">
      <alignment horizontal="center"/>
    </xf>
    <xf numFmtId="165" fontId="2" fillId="0" borderId="4" xfId="3" applyNumberFormat="1" applyFont="1" applyBorder="1" applyAlignment="1">
      <alignment horizontal="center"/>
    </xf>
    <xf numFmtId="165" fontId="2" fillId="0" borderId="4" xfId="3" applyNumberFormat="1" applyFont="1" applyBorder="1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0" fontId="10" fillId="3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/>
    </xf>
    <xf numFmtId="14" fontId="2" fillId="8" borderId="4" xfId="0" applyNumberFormat="1" applyFont="1" applyFill="1" applyBorder="1" applyAlignment="1">
      <alignment horizontal="center"/>
    </xf>
    <xf numFmtId="165" fontId="2" fillId="8" borderId="4" xfId="0" applyNumberFormat="1" applyFont="1" applyFill="1" applyBorder="1" applyAlignment="1">
      <alignment horizontal="center"/>
    </xf>
    <xf numFmtId="165" fontId="2" fillId="8" borderId="4" xfId="0" applyNumberFormat="1" applyFont="1" applyFill="1" applyBorder="1"/>
    <xf numFmtId="1" fontId="0" fillId="8" borderId="4" xfId="0" applyNumberFormat="1" applyFill="1" applyBorder="1"/>
    <xf numFmtId="0" fontId="3" fillId="5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/>
    </xf>
    <xf numFmtId="165" fontId="2" fillId="8" borderId="13" xfId="0" applyNumberFormat="1" applyFont="1" applyFill="1" applyBorder="1" applyAlignment="1">
      <alignment horizontal="center"/>
    </xf>
    <xf numFmtId="1" fontId="0" fillId="8" borderId="13" xfId="0" applyNumberFormat="1" applyFill="1" applyBorder="1"/>
    <xf numFmtId="0" fontId="12" fillId="0" borderId="0" xfId="0" applyFont="1"/>
    <xf numFmtId="0" fontId="12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/>
    </xf>
    <xf numFmtId="0" fontId="13" fillId="11" borderId="6" xfId="0" applyFont="1" applyFill="1" applyBorder="1" applyAlignment="1">
      <alignment horizontal="center"/>
    </xf>
    <xf numFmtId="0" fontId="13" fillId="11" borderId="7" xfId="0" applyFont="1" applyFill="1" applyBorder="1" applyAlignment="1">
      <alignment horizontal="center"/>
    </xf>
    <xf numFmtId="0" fontId="8" fillId="11" borderId="8" xfId="0" applyFont="1" applyFill="1" applyBorder="1" applyAlignment="1">
      <alignment horizontal="center"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8" fillId="11" borderId="9" xfId="0" applyFont="1" applyFill="1" applyBorder="1" applyAlignment="1">
      <alignment horizontal="center" vertical="center" wrapText="1"/>
    </xf>
    <xf numFmtId="0" fontId="0" fillId="9" borderId="8" xfId="0" applyFill="1" applyBorder="1" applyAlignment="1">
      <alignment vertical="center" wrapText="1"/>
    </xf>
    <xf numFmtId="0" fontId="0" fillId="9" borderId="4" xfId="0" applyFill="1" applyBorder="1" applyAlignment="1">
      <alignment vertical="center" wrapText="1"/>
    </xf>
    <xf numFmtId="10" fontId="0" fillId="9" borderId="4" xfId="0" applyNumberFormat="1" applyFill="1" applyBorder="1" applyAlignment="1">
      <alignment vertical="center" wrapText="1"/>
    </xf>
    <xf numFmtId="2" fontId="0" fillId="9" borderId="4" xfId="0" applyNumberFormat="1" applyFill="1" applyBorder="1"/>
    <xf numFmtId="9" fontId="0" fillId="9" borderId="4" xfId="2" applyNumberFormat="1" applyFont="1" applyFill="1" applyBorder="1" applyAlignment="1">
      <alignment vertical="center" wrapText="1"/>
    </xf>
    <xf numFmtId="9" fontId="0" fillId="9" borderId="4" xfId="2" applyFont="1" applyFill="1" applyBorder="1" applyAlignment="1">
      <alignment vertical="center" wrapText="1"/>
    </xf>
    <xf numFmtId="0" fontId="0" fillId="9" borderId="9" xfId="0" applyFill="1" applyBorder="1" applyAlignment="1">
      <alignment vertical="center" wrapText="1"/>
    </xf>
    <xf numFmtId="2" fontId="0" fillId="9" borderId="4" xfId="0" applyNumberFormat="1" applyFill="1" applyBorder="1" applyAlignment="1">
      <alignment vertical="center" wrapText="1"/>
    </xf>
    <xf numFmtId="0" fontId="0" fillId="9" borderId="10" xfId="0" applyFill="1" applyBorder="1" applyAlignment="1">
      <alignment vertical="center" wrapText="1"/>
    </xf>
    <xf numFmtId="0" fontId="0" fillId="9" borderId="11" xfId="0" applyFill="1" applyBorder="1" applyAlignment="1">
      <alignment vertical="center" wrapText="1"/>
    </xf>
    <xf numFmtId="10" fontId="0" fillId="9" borderId="11" xfId="0" applyNumberFormat="1" applyFill="1" applyBorder="1" applyAlignment="1">
      <alignment vertical="center" wrapText="1"/>
    </xf>
    <xf numFmtId="2" fontId="0" fillId="9" borderId="11" xfId="0" applyNumberFormat="1" applyFill="1" applyBorder="1" applyAlignment="1">
      <alignment vertical="center" wrapText="1"/>
    </xf>
    <xf numFmtId="9" fontId="0" fillId="9" borderId="11" xfId="2" applyNumberFormat="1" applyFont="1" applyFill="1" applyBorder="1" applyAlignment="1">
      <alignment vertical="center" wrapText="1"/>
    </xf>
    <xf numFmtId="0" fontId="0" fillId="9" borderId="12" xfId="0" applyFill="1" applyBorder="1" applyAlignment="1">
      <alignment vertical="center" wrapText="1"/>
    </xf>
    <xf numFmtId="0" fontId="2" fillId="12" borderId="4" xfId="3" applyFont="1" applyFill="1" applyBorder="1" applyAlignment="1">
      <alignment horizontal="center"/>
    </xf>
    <xf numFmtId="0" fontId="3" fillId="13" borderId="4" xfId="3" applyFont="1" applyFill="1" applyBorder="1" applyAlignment="1">
      <alignment horizontal="center"/>
    </xf>
    <xf numFmtId="0" fontId="3" fillId="14" borderId="4" xfId="3" applyFont="1" applyFill="1" applyBorder="1" applyAlignment="1">
      <alignment horizontal="center"/>
    </xf>
    <xf numFmtId="0" fontId="12" fillId="6" borderId="13" xfId="0" applyFont="1" applyFill="1" applyBorder="1" applyAlignment="1">
      <alignment horizontal="center" vertical="center" wrapText="1"/>
    </xf>
    <xf numFmtId="2" fontId="14" fillId="7" borderId="13" xfId="0" applyNumberFormat="1" applyFont="1" applyFill="1" applyBorder="1" applyAlignment="1">
      <alignment vertical="center" wrapText="1"/>
    </xf>
    <xf numFmtId="0" fontId="12" fillId="6" borderId="17" xfId="0" applyFont="1" applyFill="1" applyBorder="1" applyAlignment="1">
      <alignment horizontal="center" vertical="center" wrapText="1"/>
    </xf>
    <xf numFmtId="0" fontId="12" fillId="6" borderId="18" xfId="0" applyFont="1" applyFill="1" applyBorder="1" applyAlignment="1">
      <alignment horizontal="center" vertical="center" wrapText="1"/>
    </xf>
    <xf numFmtId="0" fontId="0" fillId="7" borderId="17" xfId="0" applyFill="1" applyBorder="1" applyAlignment="1">
      <alignment vertical="center" wrapText="1"/>
    </xf>
    <xf numFmtId="1" fontId="14" fillId="7" borderId="18" xfId="0" applyNumberFormat="1" applyFont="1" applyFill="1" applyBorder="1" applyAlignment="1">
      <alignment vertical="center" wrapText="1"/>
    </xf>
    <xf numFmtId="0" fontId="0" fillId="7" borderId="19" xfId="0" applyFill="1" applyBorder="1" applyAlignment="1">
      <alignment vertical="center" wrapText="1"/>
    </xf>
    <xf numFmtId="2" fontId="14" fillId="7" borderId="20" xfId="0" applyNumberFormat="1" applyFont="1" applyFill="1" applyBorder="1" applyAlignment="1">
      <alignment vertical="center" wrapText="1"/>
    </xf>
    <xf numFmtId="1" fontId="14" fillId="7" borderId="21" xfId="0" applyNumberFormat="1" applyFont="1" applyFill="1" applyBorder="1" applyAlignment="1">
      <alignment vertical="center" wrapText="1"/>
    </xf>
    <xf numFmtId="2" fontId="14" fillId="7" borderId="18" xfId="0" applyNumberFormat="1" applyFont="1" applyFill="1" applyBorder="1" applyAlignment="1">
      <alignment vertical="center" wrapText="1"/>
    </xf>
    <xf numFmtId="2" fontId="14" fillId="7" borderId="21" xfId="0" applyNumberFormat="1" applyFont="1" applyFill="1" applyBorder="1" applyAlignment="1">
      <alignment vertical="center" wrapText="1"/>
    </xf>
    <xf numFmtId="0" fontId="8" fillId="10" borderId="13" xfId="0" applyFont="1" applyFill="1" applyBorder="1" applyAlignment="1">
      <alignment horizontal="center" vertical="center" wrapText="1"/>
    </xf>
    <xf numFmtId="14" fontId="2" fillId="8" borderId="13" xfId="0" applyNumberFormat="1" applyFont="1" applyFill="1" applyBorder="1" applyAlignment="1">
      <alignment horizontal="center"/>
    </xf>
    <xf numFmtId="0" fontId="13" fillId="6" borderId="14" xfId="0" applyFont="1" applyFill="1" applyBorder="1" applyAlignment="1">
      <alignment horizontal="center"/>
    </xf>
    <xf numFmtId="0" fontId="13" fillId="6" borderId="15" xfId="0" applyFont="1" applyFill="1" applyBorder="1" applyAlignment="1">
      <alignment horizontal="center"/>
    </xf>
    <xf numFmtId="0" fontId="13" fillId="6" borderId="16" xfId="0" applyFont="1" applyFill="1" applyBorder="1" applyAlignment="1">
      <alignment horizontal="center"/>
    </xf>
    <xf numFmtId="1" fontId="3" fillId="15" borderId="13" xfId="0" applyNumberFormat="1" applyFont="1" applyFill="1" applyBorder="1" applyAlignment="1">
      <alignment horizontal="center" vertical="center"/>
    </xf>
    <xf numFmtId="0" fontId="3" fillId="15" borderId="13" xfId="0" applyFont="1" applyFill="1" applyBorder="1" applyAlignment="1">
      <alignment horizontal="center" vertical="center"/>
    </xf>
    <xf numFmtId="2" fontId="14" fillId="16" borderId="13" xfId="0" applyNumberFormat="1" applyFont="1" applyFill="1" applyBorder="1" applyAlignment="1">
      <alignment vertical="center" wrapText="1"/>
    </xf>
    <xf numFmtId="0" fontId="12" fillId="17" borderId="13" xfId="0" applyFont="1" applyFill="1" applyBorder="1" applyAlignment="1">
      <alignment horizontal="center" vertical="center" wrapText="1"/>
    </xf>
    <xf numFmtId="0" fontId="8" fillId="17" borderId="13" xfId="0" applyFont="1" applyFill="1" applyBorder="1" applyAlignment="1">
      <alignment horizontal="center" vertical="center" wrapText="1"/>
    </xf>
    <xf numFmtId="0" fontId="0" fillId="16" borderId="13" xfId="0" applyFill="1" applyBorder="1" applyAlignment="1">
      <alignment vertical="center" wrapText="1"/>
    </xf>
    <xf numFmtId="1" fontId="0" fillId="16" borderId="13" xfId="0" applyNumberFormat="1" applyFill="1" applyBorder="1" applyAlignment="1">
      <alignment vertical="center" wrapText="1"/>
    </xf>
    <xf numFmtId="2" fontId="0" fillId="16" borderId="13" xfId="0" applyNumberFormat="1" applyFill="1" applyBorder="1"/>
    <xf numFmtId="9" fontId="0" fillId="16" borderId="13" xfId="2" applyNumberFormat="1" applyFont="1" applyFill="1" applyBorder="1" applyAlignment="1">
      <alignment vertical="center" wrapText="1"/>
    </xf>
    <xf numFmtId="2" fontId="0" fillId="16" borderId="13" xfId="0" applyNumberFormat="1" applyFill="1" applyBorder="1" applyAlignment="1">
      <alignment vertical="center" wrapText="1"/>
    </xf>
    <xf numFmtId="0" fontId="2" fillId="2" borderId="13" xfId="0" applyFont="1" applyFill="1" applyBorder="1" applyAlignment="1">
      <alignment horizontal="center"/>
    </xf>
    <xf numFmtId="0" fontId="13" fillId="17" borderId="22" xfId="0" applyFont="1" applyFill="1" applyBorder="1" applyAlignment="1">
      <alignment horizontal="center"/>
    </xf>
    <xf numFmtId="0" fontId="13" fillId="17" borderId="23" xfId="0" applyFont="1" applyFill="1" applyBorder="1" applyAlignment="1">
      <alignment horizontal="center"/>
    </xf>
    <xf numFmtId="0" fontId="13" fillId="17" borderId="24" xfId="0" applyFont="1" applyFill="1" applyBorder="1" applyAlignment="1">
      <alignment horizontal="center"/>
    </xf>
    <xf numFmtId="0" fontId="12" fillId="17" borderId="26" xfId="0" applyFont="1" applyFill="1" applyBorder="1" applyAlignment="1">
      <alignment horizontal="center" vertical="center" wrapText="1"/>
    </xf>
    <xf numFmtId="0" fontId="0" fillId="16" borderId="25" xfId="0" applyFill="1" applyBorder="1" applyAlignment="1">
      <alignment vertical="center" wrapText="1"/>
    </xf>
    <xf numFmtId="1" fontId="14" fillId="16" borderId="26" xfId="0" applyNumberFormat="1" applyFont="1" applyFill="1" applyBorder="1" applyAlignment="1">
      <alignment vertical="center" wrapText="1"/>
    </xf>
    <xf numFmtId="0" fontId="0" fillId="16" borderId="27" xfId="0" applyFill="1" applyBorder="1" applyAlignment="1">
      <alignment vertical="center" wrapText="1"/>
    </xf>
    <xf numFmtId="0" fontId="0" fillId="16" borderId="28" xfId="0" applyFill="1" applyBorder="1" applyAlignment="1">
      <alignment vertical="center" wrapText="1"/>
    </xf>
    <xf numFmtId="1" fontId="0" fillId="16" borderId="28" xfId="0" applyNumberFormat="1" applyFill="1" applyBorder="1" applyAlignment="1">
      <alignment vertical="center" wrapText="1"/>
    </xf>
    <xf numFmtId="2" fontId="0" fillId="16" borderId="28" xfId="0" applyNumberFormat="1" applyFill="1" applyBorder="1"/>
    <xf numFmtId="2" fontId="0" fillId="16" borderId="28" xfId="0" applyNumberFormat="1" applyFill="1" applyBorder="1" applyAlignment="1">
      <alignment vertical="center" wrapText="1"/>
    </xf>
    <xf numFmtId="9" fontId="0" fillId="16" borderId="28" xfId="2" applyNumberFormat="1" applyFont="1" applyFill="1" applyBorder="1" applyAlignment="1">
      <alignment vertical="center" wrapText="1"/>
    </xf>
    <xf numFmtId="2" fontId="14" fillId="16" borderId="28" xfId="0" applyNumberFormat="1" applyFont="1" applyFill="1" applyBorder="1" applyAlignment="1">
      <alignment vertical="center" wrapText="1"/>
    </xf>
    <xf numFmtId="1" fontId="14" fillId="16" borderId="29" xfId="0" applyNumberFormat="1" applyFont="1" applyFill="1" applyBorder="1" applyAlignment="1">
      <alignment vertical="center" wrapText="1"/>
    </xf>
    <xf numFmtId="9" fontId="14" fillId="0" borderId="0" xfId="0" applyNumberFormat="1" applyFont="1" applyAlignment="1">
      <alignment vertical="center" wrapText="1"/>
    </xf>
    <xf numFmtId="6" fontId="14" fillId="0" borderId="0" xfId="0" applyNumberFormat="1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1" fontId="3" fillId="18" borderId="1" xfId="0" applyNumberFormat="1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12" fillId="17" borderId="25" xfId="0" applyFont="1" applyFill="1" applyBorder="1" applyAlignment="1">
      <alignment horizontal="center" vertical="center" wrapText="1"/>
    </xf>
    <xf numFmtId="0" fontId="13" fillId="19" borderId="4" xfId="0" applyFont="1" applyFill="1" applyBorder="1" applyAlignment="1">
      <alignment horizontal="center" vertical="center"/>
    </xf>
    <xf numFmtId="0" fontId="12" fillId="19" borderId="4" xfId="0" applyFont="1" applyFill="1" applyBorder="1" applyAlignment="1">
      <alignment horizontal="center" vertical="center" wrapText="1"/>
    </xf>
    <xf numFmtId="0" fontId="0" fillId="20" borderId="4" xfId="0" applyFill="1" applyBorder="1"/>
    <xf numFmtId="2" fontId="0" fillId="20" borderId="4" xfId="0" applyNumberFormat="1" applyFill="1" applyBorder="1"/>
    <xf numFmtId="0" fontId="12" fillId="20" borderId="4" xfId="0" applyFont="1" applyFill="1" applyBorder="1" applyAlignment="1">
      <alignment horizontal="center" vertical="center" wrapText="1"/>
    </xf>
    <xf numFmtId="0" fontId="14" fillId="20" borderId="4" xfId="0" applyFont="1" applyFill="1" applyBorder="1" applyAlignment="1">
      <alignment vertical="center" wrapText="1"/>
    </xf>
    <xf numFmtId="0" fontId="12" fillId="20" borderId="4" xfId="0" applyFont="1" applyFill="1" applyBorder="1"/>
    <xf numFmtId="176" fontId="14" fillId="20" borderId="4" xfId="1" applyNumberFormat="1" applyFont="1" applyFill="1" applyBorder="1" applyAlignment="1">
      <alignment vertical="center" wrapText="1"/>
    </xf>
    <xf numFmtId="176" fontId="12" fillId="20" borderId="4" xfId="1" applyNumberFormat="1" applyFont="1" applyFill="1" applyBorder="1"/>
    <xf numFmtId="0" fontId="0" fillId="0" borderId="0" xfId="0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9" fontId="4" fillId="0" borderId="0" xfId="0" applyNumberFormat="1" applyFont="1" applyAlignment="1">
      <alignment vertical="center"/>
    </xf>
    <xf numFmtId="2" fontId="4" fillId="0" borderId="0" xfId="0" applyNumberFormat="1" applyFont="1" applyAlignment="1">
      <alignment vertical="center"/>
    </xf>
    <xf numFmtId="0" fontId="14" fillId="22" borderId="4" xfId="0" applyFont="1" applyFill="1" applyBorder="1" applyAlignment="1">
      <alignment vertical="center" wrapText="1"/>
    </xf>
    <xf numFmtId="9" fontId="14" fillId="22" borderId="4" xfId="0" applyNumberFormat="1" applyFont="1" applyFill="1" applyBorder="1" applyAlignment="1">
      <alignment vertical="center" wrapText="1"/>
    </xf>
    <xf numFmtId="0" fontId="16" fillId="23" borderId="4" xfId="0" applyFont="1" applyFill="1" applyBorder="1" applyAlignment="1">
      <alignment horizontal="center" vertical="center" wrapText="1"/>
    </xf>
    <xf numFmtId="179" fontId="14" fillId="22" borderId="4" xfId="1" applyNumberFormat="1" applyFont="1" applyFill="1" applyBorder="1" applyAlignment="1">
      <alignment vertical="center" wrapText="1"/>
    </xf>
    <xf numFmtId="0" fontId="5" fillId="21" borderId="30" xfId="0" applyFont="1" applyFill="1" applyBorder="1" applyAlignment="1">
      <alignment horizontal="center" vertical="center" wrapText="1"/>
    </xf>
    <xf numFmtId="0" fontId="5" fillId="21" borderId="31" xfId="0" applyFont="1" applyFill="1" applyBorder="1" applyAlignment="1">
      <alignment horizontal="center" vertical="center" wrapText="1"/>
    </xf>
    <xf numFmtId="0" fontId="5" fillId="21" borderId="32" xfId="0" applyFont="1" applyFill="1" applyBorder="1" applyAlignment="1">
      <alignment horizontal="center" vertical="center" wrapText="1"/>
    </xf>
    <xf numFmtId="0" fontId="5" fillId="21" borderId="33" xfId="0" applyFont="1" applyFill="1" applyBorder="1" applyAlignment="1">
      <alignment horizontal="center" vertical="center" wrapText="1"/>
    </xf>
    <xf numFmtId="176" fontId="12" fillId="21" borderId="32" xfId="1" applyNumberFormat="1" applyFont="1" applyFill="1" applyBorder="1" applyAlignment="1">
      <alignment horizontal="center" vertical="center"/>
    </xf>
    <xf numFmtId="176" fontId="12" fillId="21" borderId="33" xfId="1" applyNumberFormat="1" applyFont="1" applyFill="1" applyBorder="1" applyAlignment="1">
      <alignment horizontal="center" vertical="center"/>
    </xf>
    <xf numFmtId="176" fontId="12" fillId="21" borderId="34" xfId="1" applyNumberFormat="1" applyFont="1" applyFill="1" applyBorder="1" applyAlignment="1">
      <alignment horizontal="center" vertical="center"/>
    </xf>
    <xf numFmtId="176" fontId="12" fillId="21" borderId="35" xfId="1" applyNumberFormat="1" applyFont="1" applyFill="1" applyBorder="1" applyAlignment="1">
      <alignment horizontal="center" vertical="center"/>
    </xf>
    <xf numFmtId="9" fontId="12" fillId="21" borderId="32" xfId="2" applyFont="1" applyFill="1" applyBorder="1" applyAlignment="1">
      <alignment horizontal="center" vertical="center"/>
    </xf>
    <xf numFmtId="9" fontId="12" fillId="21" borderId="33" xfId="2" applyFont="1" applyFill="1" applyBorder="1" applyAlignment="1">
      <alignment horizontal="center" vertical="center"/>
    </xf>
    <xf numFmtId="9" fontId="12" fillId="21" borderId="34" xfId="2" applyFont="1" applyFill="1" applyBorder="1" applyAlignment="1">
      <alignment horizontal="center" vertical="center"/>
    </xf>
    <xf numFmtId="9" fontId="12" fillId="21" borderId="35" xfId="2" applyFont="1" applyFill="1" applyBorder="1" applyAlignment="1">
      <alignment horizontal="center" vertical="center"/>
    </xf>
    <xf numFmtId="0" fontId="15" fillId="23" borderId="36" xfId="0" applyFont="1" applyFill="1" applyBorder="1" applyAlignment="1">
      <alignment horizontal="center" vertical="center"/>
    </xf>
    <xf numFmtId="0" fontId="16" fillId="23" borderId="37" xfId="0" applyFont="1" applyFill="1" applyBorder="1" applyAlignment="1">
      <alignment horizontal="center" vertical="center"/>
    </xf>
    <xf numFmtId="0" fontId="16" fillId="23" borderId="38" xfId="0" applyFont="1" applyFill="1" applyBorder="1" applyAlignment="1">
      <alignment horizontal="center" vertical="center"/>
    </xf>
    <xf numFmtId="0" fontId="16" fillId="23" borderId="39" xfId="0" applyFont="1" applyFill="1" applyBorder="1" applyAlignment="1">
      <alignment horizontal="center" vertical="center" wrapText="1"/>
    </xf>
    <xf numFmtId="0" fontId="16" fillId="23" borderId="40" xfId="0" applyFont="1" applyFill="1" applyBorder="1" applyAlignment="1">
      <alignment horizontal="center" vertical="center" wrapText="1"/>
    </xf>
    <xf numFmtId="0" fontId="14" fillId="22" borderId="39" xfId="0" applyFont="1" applyFill="1" applyBorder="1" applyAlignment="1">
      <alignment vertical="center" wrapText="1"/>
    </xf>
    <xf numFmtId="9" fontId="14" fillId="22" borderId="40" xfId="0" applyNumberFormat="1" applyFont="1" applyFill="1" applyBorder="1" applyAlignment="1">
      <alignment vertical="center" wrapText="1"/>
    </xf>
    <xf numFmtId="0" fontId="14" fillId="22" borderId="41" xfId="0" applyFont="1" applyFill="1" applyBorder="1" applyAlignment="1">
      <alignment vertical="center" wrapText="1"/>
    </xf>
    <xf numFmtId="0" fontId="14" fillId="22" borderId="42" xfId="0" applyFont="1" applyFill="1" applyBorder="1" applyAlignment="1">
      <alignment vertical="center" wrapText="1"/>
    </xf>
    <xf numFmtId="175" fontId="14" fillId="22" borderId="42" xfId="0" applyNumberFormat="1" applyFont="1" applyFill="1" applyBorder="1" applyAlignment="1">
      <alignment vertical="center" wrapText="1"/>
    </xf>
    <xf numFmtId="175" fontId="14" fillId="22" borderId="43" xfId="0" applyNumberFormat="1" applyFont="1" applyFill="1" applyBorder="1" applyAlignment="1">
      <alignment vertical="center" wrapText="1"/>
    </xf>
    <xf numFmtId="0" fontId="15" fillId="23" borderId="37" xfId="0" applyFont="1" applyFill="1" applyBorder="1" applyAlignment="1">
      <alignment horizontal="center" vertical="center"/>
    </xf>
    <xf numFmtId="0" fontId="15" fillId="23" borderId="38" xfId="0" applyFont="1" applyFill="1" applyBorder="1" applyAlignment="1">
      <alignment horizontal="center" vertical="center"/>
    </xf>
    <xf numFmtId="176" fontId="14" fillId="22" borderId="40" xfId="1" applyNumberFormat="1" applyFont="1" applyFill="1" applyBorder="1" applyAlignment="1">
      <alignment vertical="center" wrapText="1"/>
    </xf>
    <xf numFmtId="179" fontId="14" fillId="22" borderId="42" xfId="1" applyNumberFormat="1" applyFont="1" applyFill="1" applyBorder="1" applyAlignment="1">
      <alignment vertical="center" wrapText="1"/>
    </xf>
    <xf numFmtId="176" fontId="14" fillId="22" borderId="43" xfId="1" applyNumberFormat="1" applyFont="1" applyFill="1" applyBorder="1" applyAlignment="1">
      <alignment vertical="center" wrapText="1"/>
    </xf>
    <xf numFmtId="2" fontId="14" fillId="22" borderId="40" xfId="0" applyNumberFormat="1" applyFont="1" applyFill="1" applyBorder="1" applyAlignment="1">
      <alignment vertical="center" wrapText="1"/>
    </xf>
    <xf numFmtId="0" fontId="12" fillId="22" borderId="41" xfId="0" applyFont="1" applyFill="1" applyBorder="1" applyAlignment="1">
      <alignment vertical="center" wrapText="1"/>
    </xf>
    <xf numFmtId="176" fontId="12" fillId="22" borderId="43" xfId="0" applyNumberFormat="1" applyFont="1" applyFill="1" applyBorder="1" applyAlignment="1">
      <alignment vertical="center" wrapText="1"/>
    </xf>
    <xf numFmtId="2" fontId="12" fillId="22" borderId="40" xfId="0" applyNumberFormat="1" applyFont="1" applyFill="1" applyBorder="1" applyAlignment="1">
      <alignment vertical="center" wrapText="1"/>
    </xf>
    <xf numFmtId="0" fontId="12" fillId="22" borderId="44" xfId="0" applyFont="1" applyFill="1" applyBorder="1" applyAlignment="1">
      <alignment horizontal="left" vertical="center" indent="1"/>
    </xf>
    <xf numFmtId="176" fontId="0" fillId="22" borderId="45" xfId="1" applyNumberFormat="1" applyFont="1" applyFill="1" applyBorder="1"/>
    <xf numFmtId="0" fontId="12" fillId="22" borderId="43" xfId="0" applyFont="1" applyFill="1" applyBorder="1" applyAlignment="1">
      <alignment vertical="center" wrapText="1"/>
    </xf>
  </cellXfs>
  <cellStyles count="4">
    <cellStyle name="Currency" xfId="1" builtinId="4"/>
    <cellStyle name="Normal" xfId="0" builtinId="0"/>
    <cellStyle name="Normal 2" xfId="3" xr:uid="{BC433CD5-6241-417B-BF27-A0DB5DCF7E49}"/>
    <cellStyle name="Percent" xfId="2" builtinId="5"/>
  </cellStyles>
  <dxfs count="2"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Google ve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Regression_Plots!$H$1</c:f>
              <c:strCache>
                <c:ptCount val="1"/>
                <c:pt idx="0">
                  <c:v>SALES_</c:v>
                </c:pt>
              </c:strCache>
            </c:strRef>
          </c:tx>
          <c:spPr>
            <a:ln w="25400" cap="rnd">
              <a:noFill/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trendline>
            <c:spPr>
              <a:ln w="25400" cap="rnd">
                <a:solidFill>
                  <a:srgbClr val="FF0000">
                    <a:alpha val="50000"/>
                  </a:srgbClr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8190451753612266"/>
                  <c:y val="-0.16925570955214311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solidFill>
                          <a:srgbClr val="FF0000"/>
                        </a:solidFill>
                      </a:rPr>
                      <a:t>y = 1.6498x + 90.471</a:t>
                    </a:r>
                    <a:endParaRPr lang="en-US" sz="1200">
                      <a:solidFill>
                        <a:srgbClr val="FF000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R"/>
                </a:p>
              </c:txPr>
            </c:trendlineLbl>
          </c:trendline>
          <c:xVal>
            <c:numRef>
              <c:f>Regression_Plots!$D$2:$D$1015</c:f>
              <c:numCache>
                <c:formatCode>0</c:formatCode>
                <c:ptCount val="1014"/>
                <c:pt idx="0">
                  <c:v>56.02</c:v>
                </c:pt>
                <c:pt idx="1">
                  <c:v>10.9</c:v>
                </c:pt>
                <c:pt idx="2">
                  <c:v>12.44</c:v>
                </c:pt>
                <c:pt idx="3">
                  <c:v>31.3</c:v>
                </c:pt>
                <c:pt idx="4">
                  <c:v>46.160000000000004</c:v>
                </c:pt>
                <c:pt idx="5">
                  <c:v>6.74</c:v>
                </c:pt>
                <c:pt idx="6">
                  <c:v>13.5</c:v>
                </c:pt>
                <c:pt idx="7">
                  <c:v>31.04</c:v>
                </c:pt>
                <c:pt idx="8">
                  <c:v>9.7200000000000006</c:v>
                </c:pt>
                <c:pt idx="9">
                  <c:v>40.96</c:v>
                </c:pt>
                <c:pt idx="10">
                  <c:v>23.22</c:v>
                </c:pt>
                <c:pt idx="11">
                  <c:v>50.94</c:v>
                </c:pt>
                <c:pt idx="12">
                  <c:v>10.76</c:v>
                </c:pt>
                <c:pt idx="13">
                  <c:v>26.5</c:v>
                </c:pt>
                <c:pt idx="14">
                  <c:v>44.82</c:v>
                </c:pt>
                <c:pt idx="15">
                  <c:v>42.08</c:v>
                </c:pt>
                <c:pt idx="16">
                  <c:v>89.06</c:v>
                </c:pt>
                <c:pt idx="17">
                  <c:v>62.279999999999994</c:v>
                </c:pt>
                <c:pt idx="18">
                  <c:v>14.84</c:v>
                </c:pt>
                <c:pt idx="19">
                  <c:v>32.46</c:v>
                </c:pt>
                <c:pt idx="20">
                  <c:v>46.68</c:v>
                </c:pt>
                <c:pt idx="21">
                  <c:v>48.480000000000004</c:v>
                </c:pt>
                <c:pt idx="22">
                  <c:v>11.64</c:v>
                </c:pt>
                <c:pt idx="23">
                  <c:v>49.660000000000004</c:v>
                </c:pt>
                <c:pt idx="24">
                  <c:v>20.46</c:v>
                </c:pt>
                <c:pt idx="25">
                  <c:v>59.58</c:v>
                </c:pt>
                <c:pt idx="26">
                  <c:v>38.58</c:v>
                </c:pt>
                <c:pt idx="27">
                  <c:v>49.019999999999996</c:v>
                </c:pt>
                <c:pt idx="28">
                  <c:v>52.760000000000005</c:v>
                </c:pt>
                <c:pt idx="29">
                  <c:v>15.12</c:v>
                </c:pt>
                <c:pt idx="30">
                  <c:v>59.58</c:v>
                </c:pt>
                <c:pt idx="31">
                  <c:v>92.987500000000011</c:v>
                </c:pt>
                <c:pt idx="32">
                  <c:v>20.440000000000001</c:v>
                </c:pt>
                <c:pt idx="33">
                  <c:v>61.120000000000005</c:v>
                </c:pt>
                <c:pt idx="34">
                  <c:v>24.14</c:v>
                </c:pt>
                <c:pt idx="35">
                  <c:v>62.14</c:v>
                </c:pt>
                <c:pt idx="36">
                  <c:v>56.379999999999995</c:v>
                </c:pt>
                <c:pt idx="37">
                  <c:v>24.94</c:v>
                </c:pt>
                <c:pt idx="38">
                  <c:v>14.620000000000001</c:v>
                </c:pt>
                <c:pt idx="39">
                  <c:v>53.6</c:v>
                </c:pt>
                <c:pt idx="40">
                  <c:v>45.5</c:v>
                </c:pt>
                <c:pt idx="41">
                  <c:v>40.4</c:v>
                </c:pt>
                <c:pt idx="42">
                  <c:v>67.72</c:v>
                </c:pt>
                <c:pt idx="43">
                  <c:v>51.38</c:v>
                </c:pt>
                <c:pt idx="44">
                  <c:v>12.02</c:v>
                </c:pt>
                <c:pt idx="45">
                  <c:v>42.019999999999996</c:v>
                </c:pt>
                <c:pt idx="46">
                  <c:v>18.940000000000001</c:v>
                </c:pt>
                <c:pt idx="47">
                  <c:v>52.980000000000004</c:v>
                </c:pt>
                <c:pt idx="48">
                  <c:v>46.44</c:v>
                </c:pt>
                <c:pt idx="49">
                  <c:v>14.38</c:v>
                </c:pt>
                <c:pt idx="50">
                  <c:v>43.96</c:v>
                </c:pt>
                <c:pt idx="51">
                  <c:v>29.080000000000002</c:v>
                </c:pt>
                <c:pt idx="52">
                  <c:v>44.28</c:v>
                </c:pt>
                <c:pt idx="53">
                  <c:v>41.519999999999996</c:v>
                </c:pt>
                <c:pt idx="54">
                  <c:v>62.54</c:v>
                </c:pt>
                <c:pt idx="55">
                  <c:v>40.78</c:v>
                </c:pt>
                <c:pt idx="56">
                  <c:v>3.46</c:v>
                </c:pt>
                <c:pt idx="57">
                  <c:v>33.239999999999995</c:v>
                </c:pt>
                <c:pt idx="58">
                  <c:v>49.160000000000004</c:v>
                </c:pt>
                <c:pt idx="59">
                  <c:v>50.14</c:v>
                </c:pt>
                <c:pt idx="60">
                  <c:v>16.7</c:v>
                </c:pt>
                <c:pt idx="61">
                  <c:v>61.260000000000005</c:v>
                </c:pt>
                <c:pt idx="62">
                  <c:v>53.86</c:v>
                </c:pt>
                <c:pt idx="63">
                  <c:v>27.54</c:v>
                </c:pt>
                <c:pt idx="64">
                  <c:v>27.22</c:v>
                </c:pt>
                <c:pt idx="65">
                  <c:v>21.8</c:v>
                </c:pt>
                <c:pt idx="66">
                  <c:v>15.3</c:v>
                </c:pt>
                <c:pt idx="67">
                  <c:v>30.860000000000003</c:v>
                </c:pt>
                <c:pt idx="68">
                  <c:v>51.480000000000004</c:v>
                </c:pt>
                <c:pt idx="69">
                  <c:v>48.36</c:v>
                </c:pt>
                <c:pt idx="70">
                  <c:v>44.82</c:v>
                </c:pt>
                <c:pt idx="71">
                  <c:v>29.96</c:v>
                </c:pt>
                <c:pt idx="72">
                  <c:v>15.36</c:v>
                </c:pt>
                <c:pt idx="73">
                  <c:v>28.880000000000003</c:v>
                </c:pt>
                <c:pt idx="74">
                  <c:v>50.68</c:v>
                </c:pt>
                <c:pt idx="75">
                  <c:v>12.379999999999999</c:v>
                </c:pt>
                <c:pt idx="76">
                  <c:v>13.5</c:v>
                </c:pt>
                <c:pt idx="77">
                  <c:v>25.1</c:v>
                </c:pt>
                <c:pt idx="78">
                  <c:v>8.08</c:v>
                </c:pt>
                <c:pt idx="79">
                  <c:v>31.2</c:v>
                </c:pt>
                <c:pt idx="80">
                  <c:v>19.28</c:v>
                </c:pt>
                <c:pt idx="81">
                  <c:v>96.179999999999993</c:v>
                </c:pt>
                <c:pt idx="82">
                  <c:v>18.059999999999999</c:v>
                </c:pt>
                <c:pt idx="83">
                  <c:v>22.68</c:v>
                </c:pt>
                <c:pt idx="84">
                  <c:v>45.7</c:v>
                </c:pt>
                <c:pt idx="85">
                  <c:v>42.64</c:v>
                </c:pt>
                <c:pt idx="86">
                  <c:v>21.259999999999998</c:v>
                </c:pt>
                <c:pt idx="87">
                  <c:v>28.14</c:v>
                </c:pt>
                <c:pt idx="88">
                  <c:v>27.66</c:v>
                </c:pt>
                <c:pt idx="89">
                  <c:v>23.96</c:v>
                </c:pt>
                <c:pt idx="90">
                  <c:v>31.860000000000003</c:v>
                </c:pt>
                <c:pt idx="91">
                  <c:v>14.72</c:v>
                </c:pt>
                <c:pt idx="92">
                  <c:v>47.54</c:v>
                </c:pt>
                <c:pt idx="93">
                  <c:v>56.18</c:v>
                </c:pt>
                <c:pt idx="94">
                  <c:v>30.48</c:v>
                </c:pt>
                <c:pt idx="95">
                  <c:v>40.660000000000004</c:v>
                </c:pt>
                <c:pt idx="96">
                  <c:v>46.519999999999996</c:v>
                </c:pt>
                <c:pt idx="97">
                  <c:v>41.980000000000004</c:v>
                </c:pt>
                <c:pt idx="98">
                  <c:v>64.94</c:v>
                </c:pt>
                <c:pt idx="99">
                  <c:v>28.04</c:v>
                </c:pt>
                <c:pt idx="100">
                  <c:v>51.480000000000004</c:v>
                </c:pt>
                <c:pt idx="101">
                  <c:v>63.279999999999994</c:v>
                </c:pt>
                <c:pt idx="102">
                  <c:v>64.039999999999992</c:v>
                </c:pt>
                <c:pt idx="103">
                  <c:v>38.58</c:v>
                </c:pt>
                <c:pt idx="104">
                  <c:v>54.64</c:v>
                </c:pt>
                <c:pt idx="105">
                  <c:v>37.58</c:v>
                </c:pt>
                <c:pt idx="106">
                  <c:v>8</c:v>
                </c:pt>
                <c:pt idx="107">
                  <c:v>27.080000000000002</c:v>
                </c:pt>
                <c:pt idx="108">
                  <c:v>9.620000000000001</c:v>
                </c:pt>
                <c:pt idx="109">
                  <c:v>53.08</c:v>
                </c:pt>
                <c:pt idx="110">
                  <c:v>54.160000000000004</c:v>
                </c:pt>
                <c:pt idx="111">
                  <c:v>55.339999999999996</c:v>
                </c:pt>
                <c:pt idx="112">
                  <c:v>39.14</c:v>
                </c:pt>
                <c:pt idx="113">
                  <c:v>44.92</c:v>
                </c:pt>
                <c:pt idx="114">
                  <c:v>18.64</c:v>
                </c:pt>
                <c:pt idx="115">
                  <c:v>24.02</c:v>
                </c:pt>
                <c:pt idx="116">
                  <c:v>37.839999999999996</c:v>
                </c:pt>
                <c:pt idx="117">
                  <c:v>25.28</c:v>
                </c:pt>
                <c:pt idx="118">
                  <c:v>29.14</c:v>
                </c:pt>
                <c:pt idx="119">
                  <c:v>9.879999999999999</c:v>
                </c:pt>
                <c:pt idx="120">
                  <c:v>36.260000000000005</c:v>
                </c:pt>
                <c:pt idx="121">
                  <c:v>7.76</c:v>
                </c:pt>
                <c:pt idx="122">
                  <c:v>45.8</c:v>
                </c:pt>
                <c:pt idx="123">
                  <c:v>33.619999999999997</c:v>
                </c:pt>
                <c:pt idx="124">
                  <c:v>51.9</c:v>
                </c:pt>
                <c:pt idx="125">
                  <c:v>18.440000000000001</c:v>
                </c:pt>
                <c:pt idx="126">
                  <c:v>8.56</c:v>
                </c:pt>
                <c:pt idx="127">
                  <c:v>71.06</c:v>
                </c:pt>
                <c:pt idx="128">
                  <c:v>54.06</c:v>
                </c:pt>
                <c:pt idx="129">
                  <c:v>18.920000000000002</c:v>
                </c:pt>
                <c:pt idx="130">
                  <c:v>6</c:v>
                </c:pt>
                <c:pt idx="131">
                  <c:v>55.04</c:v>
                </c:pt>
                <c:pt idx="132">
                  <c:v>5.68</c:v>
                </c:pt>
                <c:pt idx="133">
                  <c:v>45.96</c:v>
                </c:pt>
                <c:pt idx="134">
                  <c:v>14.379999999999999</c:v>
                </c:pt>
                <c:pt idx="135">
                  <c:v>14.66</c:v>
                </c:pt>
                <c:pt idx="136">
                  <c:v>10.120000000000001</c:v>
                </c:pt>
                <c:pt idx="137">
                  <c:v>58.739999999999995</c:v>
                </c:pt>
                <c:pt idx="138">
                  <c:v>9.6</c:v>
                </c:pt>
                <c:pt idx="139">
                  <c:v>96.179999999999993</c:v>
                </c:pt>
                <c:pt idx="140">
                  <c:v>20.910000000000004</c:v>
                </c:pt>
                <c:pt idx="141">
                  <c:v>49.443333333333328</c:v>
                </c:pt>
                <c:pt idx="142">
                  <c:v>50.1</c:v>
                </c:pt>
                <c:pt idx="143">
                  <c:v>28.919999999999998</c:v>
                </c:pt>
                <c:pt idx="144">
                  <c:v>29.240000000000002</c:v>
                </c:pt>
                <c:pt idx="145">
                  <c:v>31.060000000000002</c:v>
                </c:pt>
                <c:pt idx="146">
                  <c:v>55.019999999999996</c:v>
                </c:pt>
                <c:pt idx="147">
                  <c:v>50.64</c:v>
                </c:pt>
                <c:pt idx="148">
                  <c:v>15.6</c:v>
                </c:pt>
                <c:pt idx="149">
                  <c:v>96.179999999999993</c:v>
                </c:pt>
                <c:pt idx="150">
                  <c:v>66.14</c:v>
                </c:pt>
                <c:pt idx="151">
                  <c:v>31.2</c:v>
                </c:pt>
                <c:pt idx="152">
                  <c:v>40.519999999999996</c:v>
                </c:pt>
                <c:pt idx="153">
                  <c:v>37.260000000000005</c:v>
                </c:pt>
                <c:pt idx="154">
                  <c:v>43.56</c:v>
                </c:pt>
                <c:pt idx="155">
                  <c:v>9.82</c:v>
                </c:pt>
                <c:pt idx="156">
                  <c:v>25.78</c:v>
                </c:pt>
                <c:pt idx="157">
                  <c:v>39.96</c:v>
                </c:pt>
                <c:pt idx="158">
                  <c:v>12.34</c:v>
                </c:pt>
                <c:pt idx="159">
                  <c:v>32.339999999999996</c:v>
                </c:pt>
                <c:pt idx="160">
                  <c:v>44.5</c:v>
                </c:pt>
                <c:pt idx="161">
                  <c:v>19.14</c:v>
                </c:pt>
                <c:pt idx="162">
                  <c:v>42.68</c:v>
                </c:pt>
                <c:pt idx="163">
                  <c:v>33.700000000000003</c:v>
                </c:pt>
                <c:pt idx="164">
                  <c:v>28.44</c:v>
                </c:pt>
                <c:pt idx="165">
                  <c:v>56.9</c:v>
                </c:pt>
                <c:pt idx="166">
                  <c:v>11.58</c:v>
                </c:pt>
                <c:pt idx="167">
                  <c:v>48.36</c:v>
                </c:pt>
                <c:pt idx="168">
                  <c:v>45.08</c:v>
                </c:pt>
                <c:pt idx="169">
                  <c:v>60.86</c:v>
                </c:pt>
                <c:pt idx="170">
                  <c:v>12</c:v>
                </c:pt>
                <c:pt idx="171">
                  <c:v>42.9</c:v>
                </c:pt>
                <c:pt idx="172">
                  <c:v>9.92</c:v>
                </c:pt>
                <c:pt idx="173">
                  <c:v>36.68</c:v>
                </c:pt>
                <c:pt idx="174">
                  <c:v>53.480000000000004</c:v>
                </c:pt>
                <c:pt idx="175">
                  <c:v>64.38</c:v>
                </c:pt>
                <c:pt idx="176">
                  <c:v>58.68</c:v>
                </c:pt>
                <c:pt idx="177">
                  <c:v>40.04</c:v>
                </c:pt>
                <c:pt idx="178">
                  <c:v>63.339999999999996</c:v>
                </c:pt>
                <c:pt idx="179">
                  <c:v>41.12</c:v>
                </c:pt>
                <c:pt idx="180">
                  <c:v>36.32</c:v>
                </c:pt>
                <c:pt idx="181">
                  <c:v>52.7</c:v>
                </c:pt>
                <c:pt idx="182">
                  <c:v>18.240000000000002</c:v>
                </c:pt>
                <c:pt idx="183">
                  <c:v>65.52000000000001</c:v>
                </c:pt>
                <c:pt idx="184">
                  <c:v>58.760000000000005</c:v>
                </c:pt>
                <c:pt idx="185">
                  <c:v>46</c:v>
                </c:pt>
                <c:pt idx="186">
                  <c:v>35.9</c:v>
                </c:pt>
                <c:pt idx="187">
                  <c:v>41.22</c:v>
                </c:pt>
                <c:pt idx="188">
                  <c:v>59.2</c:v>
                </c:pt>
                <c:pt idx="189">
                  <c:v>6.74</c:v>
                </c:pt>
                <c:pt idx="190">
                  <c:v>15.9</c:v>
                </c:pt>
                <c:pt idx="191">
                  <c:v>21.1</c:v>
                </c:pt>
                <c:pt idx="192">
                  <c:v>12.44</c:v>
                </c:pt>
                <c:pt idx="193">
                  <c:v>41.36</c:v>
                </c:pt>
                <c:pt idx="194">
                  <c:v>32.94</c:v>
                </c:pt>
                <c:pt idx="195">
                  <c:v>14.64</c:v>
                </c:pt>
                <c:pt idx="196">
                  <c:v>27.84</c:v>
                </c:pt>
                <c:pt idx="197">
                  <c:v>44.4</c:v>
                </c:pt>
                <c:pt idx="198">
                  <c:v>57.720000000000006</c:v>
                </c:pt>
                <c:pt idx="199">
                  <c:v>52.42</c:v>
                </c:pt>
              </c:numCache>
            </c:numRef>
          </c:xVal>
          <c:yVal>
            <c:numRef>
              <c:f>Regression_Plots!$H$2:$H$1015</c:f>
              <c:numCache>
                <c:formatCode>0</c:formatCode>
                <c:ptCount val="1014"/>
                <c:pt idx="0">
                  <c:v>236</c:v>
                </c:pt>
                <c:pt idx="1">
                  <c:v>122</c:v>
                </c:pt>
                <c:pt idx="2">
                  <c:v>96</c:v>
                </c:pt>
                <c:pt idx="3">
                  <c:v>197</c:v>
                </c:pt>
                <c:pt idx="4">
                  <c:v>137</c:v>
                </c:pt>
                <c:pt idx="5">
                  <c:v>86</c:v>
                </c:pt>
                <c:pt idx="6">
                  <c:v>123</c:v>
                </c:pt>
                <c:pt idx="7">
                  <c:v>152</c:v>
                </c:pt>
                <c:pt idx="8">
                  <c:v>54</c:v>
                </c:pt>
                <c:pt idx="9">
                  <c:v>119</c:v>
                </c:pt>
                <c:pt idx="10">
                  <c:v>95</c:v>
                </c:pt>
                <c:pt idx="11">
                  <c:v>151.5</c:v>
                </c:pt>
                <c:pt idx="12">
                  <c:v>95</c:v>
                </c:pt>
                <c:pt idx="13">
                  <c:v>113</c:v>
                </c:pt>
                <c:pt idx="14">
                  <c:v>191</c:v>
                </c:pt>
                <c:pt idx="15">
                  <c:v>240</c:v>
                </c:pt>
                <c:pt idx="16">
                  <c:v>135</c:v>
                </c:pt>
                <c:pt idx="17">
                  <c:v>258</c:v>
                </c:pt>
                <c:pt idx="18">
                  <c:v>127</c:v>
                </c:pt>
                <c:pt idx="19">
                  <c:v>148</c:v>
                </c:pt>
                <c:pt idx="20">
                  <c:v>188</c:v>
                </c:pt>
                <c:pt idx="21">
                  <c:v>127</c:v>
                </c:pt>
                <c:pt idx="22">
                  <c:v>170.89285714285714</c:v>
                </c:pt>
                <c:pt idx="23">
                  <c:v>175</c:v>
                </c:pt>
                <c:pt idx="24">
                  <c:v>110</c:v>
                </c:pt>
                <c:pt idx="25">
                  <c:v>139</c:v>
                </c:pt>
                <c:pt idx="26">
                  <c:v>167</c:v>
                </c:pt>
                <c:pt idx="27">
                  <c:v>168</c:v>
                </c:pt>
                <c:pt idx="28">
                  <c:v>199</c:v>
                </c:pt>
                <c:pt idx="29">
                  <c:v>123</c:v>
                </c:pt>
                <c:pt idx="30">
                  <c:v>231</c:v>
                </c:pt>
                <c:pt idx="31">
                  <c:v>126</c:v>
                </c:pt>
                <c:pt idx="32">
                  <c:v>112</c:v>
                </c:pt>
                <c:pt idx="33">
                  <c:v>184</c:v>
                </c:pt>
                <c:pt idx="34">
                  <c:v>91.5</c:v>
                </c:pt>
                <c:pt idx="35">
                  <c:v>129</c:v>
                </c:pt>
                <c:pt idx="36">
                  <c:v>256</c:v>
                </c:pt>
                <c:pt idx="37">
                  <c:v>152</c:v>
                </c:pt>
                <c:pt idx="38">
                  <c:v>114</c:v>
                </c:pt>
                <c:pt idx="39">
                  <c:v>230</c:v>
                </c:pt>
                <c:pt idx="40">
                  <c:v>179</c:v>
                </c:pt>
                <c:pt idx="41">
                  <c:v>186</c:v>
                </c:pt>
                <c:pt idx="42">
                  <c:v>226</c:v>
                </c:pt>
                <c:pt idx="43">
                  <c:v>149</c:v>
                </c:pt>
                <c:pt idx="44">
                  <c:v>89</c:v>
                </c:pt>
                <c:pt idx="45">
                  <c:v>165</c:v>
                </c:pt>
                <c:pt idx="46">
                  <c:v>119</c:v>
                </c:pt>
                <c:pt idx="47">
                  <c:v>245</c:v>
                </c:pt>
                <c:pt idx="48">
                  <c:v>149</c:v>
                </c:pt>
                <c:pt idx="49">
                  <c:v>111</c:v>
                </c:pt>
                <c:pt idx="50">
                  <c:v>122</c:v>
                </c:pt>
                <c:pt idx="51">
                  <c:v>112</c:v>
                </c:pt>
                <c:pt idx="52">
                  <c:v>235</c:v>
                </c:pt>
                <c:pt idx="53">
                  <c:v>225</c:v>
                </c:pt>
                <c:pt idx="54">
                  <c:v>220</c:v>
                </c:pt>
                <c:pt idx="55">
                  <c:v>240</c:v>
                </c:pt>
                <c:pt idx="56">
                  <c:v>71</c:v>
                </c:pt>
                <c:pt idx="57">
                  <c:v>133</c:v>
                </c:pt>
                <c:pt idx="58">
                  <c:v>239</c:v>
                </c:pt>
                <c:pt idx="59">
                  <c:v>186</c:v>
                </c:pt>
                <c:pt idx="60">
                  <c:v>83</c:v>
                </c:pt>
                <c:pt idx="61">
                  <c:v>240</c:v>
                </c:pt>
                <c:pt idx="62">
                  <c:v>170</c:v>
                </c:pt>
                <c:pt idx="63">
                  <c:v>291.75</c:v>
                </c:pt>
                <c:pt idx="64">
                  <c:v>187</c:v>
                </c:pt>
                <c:pt idx="65">
                  <c:v>109</c:v>
                </c:pt>
                <c:pt idx="66">
                  <c:v>104</c:v>
                </c:pt>
                <c:pt idx="67">
                  <c:v>135</c:v>
                </c:pt>
                <c:pt idx="68">
                  <c:v>196</c:v>
                </c:pt>
                <c:pt idx="69">
                  <c:v>229</c:v>
                </c:pt>
                <c:pt idx="70">
                  <c:v>196</c:v>
                </c:pt>
                <c:pt idx="71">
                  <c:v>129</c:v>
                </c:pt>
                <c:pt idx="72">
                  <c:v>106</c:v>
                </c:pt>
                <c:pt idx="73">
                  <c:v>117</c:v>
                </c:pt>
                <c:pt idx="74">
                  <c:v>187</c:v>
                </c:pt>
                <c:pt idx="75">
                  <c:v>105</c:v>
                </c:pt>
                <c:pt idx="76">
                  <c:v>83</c:v>
                </c:pt>
                <c:pt idx="77">
                  <c:v>149</c:v>
                </c:pt>
                <c:pt idx="78">
                  <c:v>62</c:v>
                </c:pt>
                <c:pt idx="79">
                  <c:v>120</c:v>
                </c:pt>
                <c:pt idx="80">
                  <c:v>120</c:v>
                </c:pt>
                <c:pt idx="81">
                  <c:v>128</c:v>
                </c:pt>
                <c:pt idx="82">
                  <c:v>128</c:v>
                </c:pt>
                <c:pt idx="83">
                  <c:v>149</c:v>
                </c:pt>
                <c:pt idx="84">
                  <c:v>223</c:v>
                </c:pt>
                <c:pt idx="85">
                  <c:v>159</c:v>
                </c:pt>
                <c:pt idx="86">
                  <c:v>122</c:v>
                </c:pt>
                <c:pt idx="87">
                  <c:v>180</c:v>
                </c:pt>
                <c:pt idx="88">
                  <c:v>147</c:v>
                </c:pt>
                <c:pt idx="89">
                  <c:v>177</c:v>
                </c:pt>
                <c:pt idx="90">
                  <c:v>93</c:v>
                </c:pt>
                <c:pt idx="91">
                  <c:v>74</c:v>
                </c:pt>
                <c:pt idx="92">
                  <c:v>291.75</c:v>
                </c:pt>
                <c:pt idx="93">
                  <c:v>225</c:v>
                </c:pt>
                <c:pt idx="94">
                  <c:v>117</c:v>
                </c:pt>
                <c:pt idx="95">
                  <c:v>175</c:v>
                </c:pt>
                <c:pt idx="96">
                  <c:v>132</c:v>
                </c:pt>
                <c:pt idx="97">
                  <c:v>168</c:v>
                </c:pt>
                <c:pt idx="98">
                  <c:v>257</c:v>
                </c:pt>
                <c:pt idx="99">
                  <c:v>183</c:v>
                </c:pt>
                <c:pt idx="100">
                  <c:v>137</c:v>
                </c:pt>
                <c:pt idx="101">
                  <c:v>254</c:v>
                </c:pt>
                <c:pt idx="102">
                  <c:v>158</c:v>
                </c:pt>
                <c:pt idx="103">
                  <c:v>163</c:v>
                </c:pt>
                <c:pt idx="104">
                  <c:v>208</c:v>
                </c:pt>
                <c:pt idx="105">
                  <c:v>196</c:v>
                </c:pt>
                <c:pt idx="106">
                  <c:v>86</c:v>
                </c:pt>
                <c:pt idx="107">
                  <c:v>104</c:v>
                </c:pt>
                <c:pt idx="108">
                  <c:v>54</c:v>
                </c:pt>
                <c:pt idx="109">
                  <c:v>140.72222222222223</c:v>
                </c:pt>
                <c:pt idx="110">
                  <c:v>150</c:v>
                </c:pt>
                <c:pt idx="111">
                  <c:v>221</c:v>
                </c:pt>
                <c:pt idx="112">
                  <c:v>159</c:v>
                </c:pt>
                <c:pt idx="113">
                  <c:v>167</c:v>
                </c:pt>
                <c:pt idx="114">
                  <c:v>152</c:v>
                </c:pt>
                <c:pt idx="115">
                  <c:v>133</c:v>
                </c:pt>
                <c:pt idx="116">
                  <c:v>129</c:v>
                </c:pt>
                <c:pt idx="117">
                  <c:v>108</c:v>
                </c:pt>
                <c:pt idx="118">
                  <c:v>172</c:v>
                </c:pt>
                <c:pt idx="119">
                  <c:v>77</c:v>
                </c:pt>
                <c:pt idx="120">
                  <c:v>163</c:v>
                </c:pt>
                <c:pt idx="121">
                  <c:v>81</c:v>
                </c:pt>
                <c:pt idx="122">
                  <c:v>125</c:v>
                </c:pt>
                <c:pt idx="123">
                  <c:v>171</c:v>
                </c:pt>
                <c:pt idx="124">
                  <c:v>201</c:v>
                </c:pt>
                <c:pt idx="125">
                  <c:v>126</c:v>
                </c:pt>
                <c:pt idx="126">
                  <c:v>78</c:v>
                </c:pt>
                <c:pt idx="127">
                  <c:v>92</c:v>
                </c:pt>
                <c:pt idx="128">
                  <c:v>264</c:v>
                </c:pt>
                <c:pt idx="129">
                  <c:v>116</c:v>
                </c:pt>
                <c:pt idx="130">
                  <c:v>28</c:v>
                </c:pt>
                <c:pt idx="131">
                  <c:v>147</c:v>
                </c:pt>
                <c:pt idx="132">
                  <c:v>71</c:v>
                </c:pt>
                <c:pt idx="133">
                  <c:v>164.45535714285714</c:v>
                </c:pt>
                <c:pt idx="134">
                  <c:v>124</c:v>
                </c:pt>
                <c:pt idx="135">
                  <c:v>124</c:v>
                </c:pt>
                <c:pt idx="136">
                  <c:v>98</c:v>
                </c:pt>
                <c:pt idx="137">
                  <c:v>210</c:v>
                </c:pt>
                <c:pt idx="138">
                  <c:v>109</c:v>
                </c:pt>
                <c:pt idx="139">
                  <c:v>227</c:v>
                </c:pt>
                <c:pt idx="140">
                  <c:v>113</c:v>
                </c:pt>
                <c:pt idx="141">
                  <c:v>207</c:v>
                </c:pt>
                <c:pt idx="142">
                  <c:v>218</c:v>
                </c:pt>
                <c:pt idx="143">
                  <c:v>144.14285714285714</c:v>
                </c:pt>
                <c:pt idx="144">
                  <c:v>127</c:v>
                </c:pt>
                <c:pt idx="145">
                  <c:v>123</c:v>
                </c:pt>
                <c:pt idx="146">
                  <c:v>142</c:v>
                </c:pt>
                <c:pt idx="147">
                  <c:v>265</c:v>
                </c:pt>
                <c:pt idx="148">
                  <c:v>110</c:v>
                </c:pt>
                <c:pt idx="149">
                  <c:v>118</c:v>
                </c:pt>
                <c:pt idx="150">
                  <c:v>166</c:v>
                </c:pt>
                <c:pt idx="151">
                  <c:v>125</c:v>
                </c:pt>
                <c:pt idx="152">
                  <c:v>169</c:v>
                </c:pt>
                <c:pt idx="153">
                  <c:v>208</c:v>
                </c:pt>
                <c:pt idx="154">
                  <c:v>166</c:v>
                </c:pt>
                <c:pt idx="155">
                  <c:v>35</c:v>
                </c:pt>
                <c:pt idx="156">
                  <c:v>173</c:v>
                </c:pt>
                <c:pt idx="157">
                  <c:v>111</c:v>
                </c:pt>
                <c:pt idx="158">
                  <c:v>85</c:v>
                </c:pt>
                <c:pt idx="159">
                  <c:v>138</c:v>
                </c:pt>
                <c:pt idx="160">
                  <c:v>159</c:v>
                </c:pt>
                <c:pt idx="161">
                  <c:v>151</c:v>
                </c:pt>
                <c:pt idx="162">
                  <c:v>168</c:v>
                </c:pt>
                <c:pt idx="163">
                  <c:v>193</c:v>
                </c:pt>
                <c:pt idx="164">
                  <c:v>132</c:v>
                </c:pt>
                <c:pt idx="165">
                  <c:v>131</c:v>
                </c:pt>
                <c:pt idx="166">
                  <c:v>90</c:v>
                </c:pt>
                <c:pt idx="167">
                  <c:v>129</c:v>
                </c:pt>
                <c:pt idx="168">
                  <c:v>185</c:v>
                </c:pt>
                <c:pt idx="169">
                  <c:v>162</c:v>
                </c:pt>
                <c:pt idx="170">
                  <c:v>90</c:v>
                </c:pt>
                <c:pt idx="171">
                  <c:v>163</c:v>
                </c:pt>
                <c:pt idx="172">
                  <c:v>93</c:v>
                </c:pt>
                <c:pt idx="173">
                  <c:v>129</c:v>
                </c:pt>
                <c:pt idx="174">
                  <c:v>127</c:v>
                </c:pt>
                <c:pt idx="175">
                  <c:v>271</c:v>
                </c:pt>
                <c:pt idx="176">
                  <c:v>216</c:v>
                </c:pt>
                <c:pt idx="177">
                  <c:v>131</c:v>
                </c:pt>
                <c:pt idx="178">
                  <c:v>131</c:v>
                </c:pt>
                <c:pt idx="179">
                  <c:v>135</c:v>
                </c:pt>
                <c:pt idx="180">
                  <c:v>108</c:v>
                </c:pt>
                <c:pt idx="181">
                  <c:v>124</c:v>
                </c:pt>
                <c:pt idx="182">
                  <c:v>105</c:v>
                </c:pt>
                <c:pt idx="183">
                  <c:v>272</c:v>
                </c:pt>
                <c:pt idx="184">
                  <c:v>188</c:v>
                </c:pt>
                <c:pt idx="185">
                  <c:v>228</c:v>
                </c:pt>
                <c:pt idx="186">
                  <c:v>108</c:v>
                </c:pt>
                <c:pt idx="187">
                  <c:v>186</c:v>
                </c:pt>
                <c:pt idx="188">
                  <c:v>167</c:v>
                </c:pt>
                <c:pt idx="189">
                  <c:v>83</c:v>
                </c:pt>
                <c:pt idx="190">
                  <c:v>114</c:v>
                </c:pt>
                <c:pt idx="191">
                  <c:v>116</c:v>
                </c:pt>
                <c:pt idx="192">
                  <c:v>62</c:v>
                </c:pt>
                <c:pt idx="193">
                  <c:v>204</c:v>
                </c:pt>
                <c:pt idx="194">
                  <c:v>184</c:v>
                </c:pt>
                <c:pt idx="195">
                  <c:v>91</c:v>
                </c:pt>
                <c:pt idx="196">
                  <c:v>116</c:v>
                </c:pt>
                <c:pt idx="197">
                  <c:v>139</c:v>
                </c:pt>
                <c:pt idx="198">
                  <c:v>235.5</c:v>
                </c:pt>
                <c:pt idx="199">
                  <c:v>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67-4AFF-B07A-364C73605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71039"/>
        <c:axId val="1799274847"/>
      </c:scatterChart>
      <c:valAx>
        <c:axId val="182577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799274847"/>
        <c:crosses val="autoZero"/>
        <c:crossBetween val="midCat"/>
      </c:valAx>
      <c:valAx>
        <c:axId val="1799274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2577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Tiktok vs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Regression_Plots!$H$1</c:f>
              <c:strCache>
                <c:ptCount val="1"/>
                <c:pt idx="0">
                  <c:v>SALES_</c:v>
                </c:pt>
              </c:strCache>
            </c:strRef>
          </c:tx>
          <c:spPr>
            <a:ln w="25400" cap="rnd">
              <a:noFill/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trendline>
            <c:spPr>
              <a:ln w="25400" cap="rnd">
                <a:solidFill>
                  <a:srgbClr val="FF0000">
                    <a:alpha val="50000"/>
                  </a:srgbClr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6.818025439127802E-2"/>
                  <c:y val="-0.2745449049216197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solidFill>
                          <a:srgbClr val="FF0000"/>
                        </a:solidFill>
                      </a:rPr>
                      <a:t>y = 2.4093x + 108.24</a:t>
                    </a:r>
                    <a:endParaRPr lang="en-US" sz="1200">
                      <a:solidFill>
                        <a:srgbClr val="FF000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R"/>
                </a:p>
              </c:txPr>
            </c:trendlineLbl>
          </c:trendline>
          <c:xVal>
            <c:numRef>
              <c:f>Regression_Plots!$G$2:$G$1015</c:f>
              <c:numCache>
                <c:formatCode>0</c:formatCode>
                <c:ptCount val="1014"/>
                <c:pt idx="0">
                  <c:v>14.229999999999993</c:v>
                </c:pt>
                <c:pt idx="1">
                  <c:v>6.0599999999999952</c:v>
                </c:pt>
                <c:pt idx="2">
                  <c:v>16.95</c:v>
                </c:pt>
                <c:pt idx="3">
                  <c:v>12.399999999999995</c:v>
                </c:pt>
                <c:pt idx="4">
                  <c:v>0.12000000000000455</c:v>
                </c:pt>
                <c:pt idx="5">
                  <c:v>15.32</c:v>
                </c:pt>
                <c:pt idx="6">
                  <c:v>12.749999999999998</c:v>
                </c:pt>
                <c:pt idx="7">
                  <c:v>17.18</c:v>
                </c:pt>
                <c:pt idx="8">
                  <c:v>1.5100000000000002</c:v>
                </c:pt>
                <c:pt idx="9">
                  <c:v>12.8</c:v>
                </c:pt>
                <c:pt idx="10">
                  <c:v>19.829999999999998</c:v>
                </c:pt>
                <c:pt idx="11">
                  <c:v>31.869999999999997</c:v>
                </c:pt>
                <c:pt idx="12">
                  <c:v>17.100000000000001</c:v>
                </c:pt>
                <c:pt idx="13">
                  <c:v>17.100000000000001</c:v>
                </c:pt>
                <c:pt idx="14">
                  <c:v>18.459999999999997</c:v>
                </c:pt>
                <c:pt idx="15">
                  <c:v>22.23</c:v>
                </c:pt>
                <c:pt idx="16">
                  <c:v>23.379999999999995</c:v>
                </c:pt>
                <c:pt idx="17">
                  <c:v>25.619999999999997</c:v>
                </c:pt>
                <c:pt idx="18">
                  <c:v>9.8500000000000014</c:v>
                </c:pt>
                <c:pt idx="19">
                  <c:v>19.04</c:v>
                </c:pt>
                <c:pt idx="20">
                  <c:v>14.329999999999998</c:v>
                </c:pt>
                <c:pt idx="21">
                  <c:v>16.89</c:v>
                </c:pt>
                <c:pt idx="22">
                  <c:v>9.4299999999999962</c:v>
                </c:pt>
                <c:pt idx="23">
                  <c:v>20.8</c:v>
                </c:pt>
                <c:pt idx="24">
                  <c:v>5.2099999999999991</c:v>
                </c:pt>
                <c:pt idx="25">
                  <c:v>20.239999999999998</c:v>
                </c:pt>
                <c:pt idx="26">
                  <c:v>23.900000000000002</c:v>
                </c:pt>
                <c:pt idx="27">
                  <c:v>23.2</c:v>
                </c:pt>
                <c:pt idx="28">
                  <c:v>29.270000000000007</c:v>
                </c:pt>
                <c:pt idx="29">
                  <c:v>18.739999999999998</c:v>
                </c:pt>
                <c:pt idx="30">
                  <c:v>26.159999999999997</c:v>
                </c:pt>
                <c:pt idx="31">
                  <c:v>37.253750000000011</c:v>
                </c:pt>
                <c:pt idx="32">
                  <c:v>18.47</c:v>
                </c:pt>
                <c:pt idx="33">
                  <c:v>36.440000000000005</c:v>
                </c:pt>
                <c:pt idx="34">
                  <c:v>7.3099999999999987</c:v>
                </c:pt>
                <c:pt idx="35">
                  <c:v>27.72</c:v>
                </c:pt>
                <c:pt idx="36">
                  <c:v>41.756249999999994</c:v>
                </c:pt>
                <c:pt idx="37">
                  <c:v>13.89</c:v>
                </c:pt>
                <c:pt idx="38">
                  <c:v>3.6199999999999992</c:v>
                </c:pt>
                <c:pt idx="39">
                  <c:v>28.850000000000005</c:v>
                </c:pt>
                <c:pt idx="40">
                  <c:v>18.759999999999998</c:v>
                </c:pt>
                <c:pt idx="41">
                  <c:v>18.919999999999995</c:v>
                </c:pt>
                <c:pt idx="42">
                  <c:v>41.756249999999994</c:v>
                </c:pt>
                <c:pt idx="43">
                  <c:v>14.33</c:v>
                </c:pt>
                <c:pt idx="44">
                  <c:v>18.04</c:v>
                </c:pt>
                <c:pt idx="45">
                  <c:v>16.159999999999997</c:v>
                </c:pt>
                <c:pt idx="46">
                  <c:v>19.64</c:v>
                </c:pt>
                <c:pt idx="47">
                  <c:v>37.340000000000003</c:v>
                </c:pt>
                <c:pt idx="48">
                  <c:v>10.659999999999997</c:v>
                </c:pt>
                <c:pt idx="49">
                  <c:v>17.82</c:v>
                </c:pt>
                <c:pt idx="50">
                  <c:v>7.6899999999999995</c:v>
                </c:pt>
                <c:pt idx="51">
                  <c:v>13.4</c:v>
                </c:pt>
                <c:pt idx="52">
                  <c:v>26.65</c:v>
                </c:pt>
                <c:pt idx="53">
                  <c:v>17.879999999999995</c:v>
                </c:pt>
                <c:pt idx="54">
                  <c:v>34.31</c:v>
                </c:pt>
                <c:pt idx="55">
                  <c:v>20.590000000000003</c:v>
                </c:pt>
                <c:pt idx="56">
                  <c:v>18.220000000000002</c:v>
                </c:pt>
                <c:pt idx="57">
                  <c:v>16.579999999999998</c:v>
                </c:pt>
                <c:pt idx="58">
                  <c:v>30.8</c:v>
                </c:pt>
                <c:pt idx="59">
                  <c:v>32.1</c:v>
                </c:pt>
                <c:pt idx="60">
                  <c:v>17.79</c:v>
                </c:pt>
                <c:pt idx="61">
                  <c:v>25.6</c:v>
                </c:pt>
                <c:pt idx="62">
                  <c:v>20.759999999999998</c:v>
                </c:pt>
                <c:pt idx="63">
                  <c:v>21.71</c:v>
                </c:pt>
                <c:pt idx="64">
                  <c:v>22.949999999999996</c:v>
                </c:pt>
                <c:pt idx="65">
                  <c:v>11.190000000000001</c:v>
                </c:pt>
                <c:pt idx="66">
                  <c:v>14.57</c:v>
                </c:pt>
                <c:pt idx="67">
                  <c:v>17.100000000000001</c:v>
                </c:pt>
                <c:pt idx="68">
                  <c:v>33.090000000000003</c:v>
                </c:pt>
                <c:pt idx="69">
                  <c:v>32.749999999999993</c:v>
                </c:pt>
                <c:pt idx="70">
                  <c:v>19.729999999999997</c:v>
                </c:pt>
                <c:pt idx="71">
                  <c:v>5.4500000000000028</c:v>
                </c:pt>
                <c:pt idx="72">
                  <c:v>11.459999999999999</c:v>
                </c:pt>
                <c:pt idx="73">
                  <c:v>3.2699999999999996</c:v>
                </c:pt>
                <c:pt idx="74">
                  <c:v>28.4</c:v>
                </c:pt>
                <c:pt idx="75">
                  <c:v>7.7799999999999976</c:v>
                </c:pt>
                <c:pt idx="76">
                  <c:v>15.27</c:v>
                </c:pt>
                <c:pt idx="77">
                  <c:v>20.62</c:v>
                </c:pt>
                <c:pt idx="78">
                  <c:v>11.729999999999999</c:v>
                </c:pt>
                <c:pt idx="79">
                  <c:v>6.2099999999999991</c:v>
                </c:pt>
                <c:pt idx="80">
                  <c:v>12.070000000000002</c:v>
                </c:pt>
                <c:pt idx="81">
                  <c:v>11.270000000000001</c:v>
                </c:pt>
                <c:pt idx="82">
                  <c:v>4.68</c:v>
                </c:pt>
                <c:pt idx="83">
                  <c:v>14.849999999999998</c:v>
                </c:pt>
                <c:pt idx="84">
                  <c:v>29.330000000000002</c:v>
                </c:pt>
                <c:pt idx="85">
                  <c:v>2.2399999999999984</c:v>
                </c:pt>
                <c:pt idx="86">
                  <c:v>14.979999999999999</c:v>
                </c:pt>
                <c:pt idx="87">
                  <c:v>6.09</c:v>
                </c:pt>
                <c:pt idx="88">
                  <c:v>12.219999999999995</c:v>
                </c:pt>
                <c:pt idx="89">
                  <c:v>14.319999999999993</c:v>
                </c:pt>
                <c:pt idx="90">
                  <c:v>12.160000000000002</c:v>
                </c:pt>
                <c:pt idx="91">
                  <c:v>10.41</c:v>
                </c:pt>
                <c:pt idx="92">
                  <c:v>14.919999999999995</c:v>
                </c:pt>
                <c:pt idx="93">
                  <c:v>14.420000000000002</c:v>
                </c:pt>
                <c:pt idx="94">
                  <c:v>13.380000000000003</c:v>
                </c:pt>
                <c:pt idx="95">
                  <c:v>10.970000000000002</c:v>
                </c:pt>
                <c:pt idx="96">
                  <c:v>19.149999999999999</c:v>
                </c:pt>
                <c:pt idx="97">
                  <c:v>20.190000000000001</c:v>
                </c:pt>
                <c:pt idx="98">
                  <c:v>29.639999999999993</c:v>
                </c:pt>
                <c:pt idx="99">
                  <c:v>16.010000000000005</c:v>
                </c:pt>
                <c:pt idx="100">
                  <c:v>4.4699999999999989</c:v>
                </c:pt>
                <c:pt idx="101">
                  <c:v>10.339999999999989</c:v>
                </c:pt>
                <c:pt idx="102">
                  <c:v>24.509999999999998</c:v>
                </c:pt>
                <c:pt idx="103">
                  <c:v>20.23</c:v>
                </c:pt>
                <c:pt idx="104">
                  <c:v>38.85</c:v>
                </c:pt>
                <c:pt idx="105">
                  <c:v>13.39</c:v>
                </c:pt>
                <c:pt idx="106">
                  <c:v>16.119999999999997</c:v>
                </c:pt>
                <c:pt idx="107">
                  <c:v>19.910000000000004</c:v>
                </c:pt>
                <c:pt idx="108">
                  <c:v>11.269999999999998</c:v>
                </c:pt>
                <c:pt idx="109">
                  <c:v>36.789999999999992</c:v>
                </c:pt>
                <c:pt idx="110">
                  <c:v>4.0799999999999983</c:v>
                </c:pt>
                <c:pt idx="111">
                  <c:v>33.89</c:v>
                </c:pt>
                <c:pt idx="112">
                  <c:v>24.31</c:v>
                </c:pt>
                <c:pt idx="113">
                  <c:v>26.98</c:v>
                </c:pt>
                <c:pt idx="114">
                  <c:v>17.419999999999998</c:v>
                </c:pt>
                <c:pt idx="115">
                  <c:v>3.9299999999999962</c:v>
                </c:pt>
                <c:pt idx="116">
                  <c:v>10.829999999999998</c:v>
                </c:pt>
                <c:pt idx="117">
                  <c:v>2.12</c:v>
                </c:pt>
                <c:pt idx="118">
                  <c:v>19.339999999999996</c:v>
                </c:pt>
                <c:pt idx="119">
                  <c:v>1.0199999999999996</c:v>
                </c:pt>
                <c:pt idx="120">
                  <c:v>9.0500000000000007</c:v>
                </c:pt>
                <c:pt idx="121">
                  <c:v>12.57</c:v>
                </c:pt>
                <c:pt idx="122">
                  <c:v>17.36</c:v>
                </c:pt>
                <c:pt idx="123">
                  <c:v>24.65</c:v>
                </c:pt>
                <c:pt idx="124">
                  <c:v>9.419999999999991</c:v>
                </c:pt>
                <c:pt idx="125">
                  <c:v>4.2600000000000016</c:v>
                </c:pt>
                <c:pt idx="126">
                  <c:v>19.989999999999998</c:v>
                </c:pt>
                <c:pt idx="127">
                  <c:v>31.35</c:v>
                </c:pt>
                <c:pt idx="128">
                  <c:v>41.756249999999994</c:v>
                </c:pt>
                <c:pt idx="129">
                  <c:v>14.719999999999999</c:v>
                </c:pt>
                <c:pt idx="130">
                  <c:v>41.756249999999994</c:v>
                </c:pt>
                <c:pt idx="131">
                  <c:v>10.77</c:v>
                </c:pt>
                <c:pt idx="132">
                  <c:v>13.6</c:v>
                </c:pt>
                <c:pt idx="133">
                  <c:v>20.69</c:v>
                </c:pt>
                <c:pt idx="134">
                  <c:v>16.750000000000004</c:v>
                </c:pt>
                <c:pt idx="135">
                  <c:v>24.93</c:v>
                </c:pt>
                <c:pt idx="136">
                  <c:v>18.339999999999996</c:v>
                </c:pt>
                <c:pt idx="137">
                  <c:v>17.939999999999991</c:v>
                </c:pt>
                <c:pt idx="138">
                  <c:v>9.0499999999999989</c:v>
                </c:pt>
                <c:pt idx="139">
                  <c:v>39.76</c:v>
                </c:pt>
                <c:pt idx="140">
                  <c:v>10.68</c:v>
                </c:pt>
                <c:pt idx="141">
                  <c:v>6.8299999999999947</c:v>
                </c:pt>
                <c:pt idx="142">
                  <c:v>23.490000000000006</c:v>
                </c:pt>
                <c:pt idx="143">
                  <c:v>19.549999999999997</c:v>
                </c:pt>
                <c:pt idx="144">
                  <c:v>1.4600000000000026</c:v>
                </c:pt>
                <c:pt idx="145">
                  <c:v>11.38</c:v>
                </c:pt>
                <c:pt idx="146">
                  <c:v>24.179999999999996</c:v>
                </c:pt>
                <c:pt idx="147">
                  <c:v>31.1</c:v>
                </c:pt>
                <c:pt idx="148">
                  <c:v>19.189999999999998</c:v>
                </c:pt>
                <c:pt idx="149">
                  <c:v>9.1300000000000008</c:v>
                </c:pt>
                <c:pt idx="150">
                  <c:v>20.220000000000002</c:v>
                </c:pt>
                <c:pt idx="151">
                  <c:v>16.819999999999997</c:v>
                </c:pt>
                <c:pt idx="152">
                  <c:v>25.729999999999997</c:v>
                </c:pt>
                <c:pt idx="153">
                  <c:v>21.900000000000002</c:v>
                </c:pt>
                <c:pt idx="154">
                  <c:v>25.53</c:v>
                </c:pt>
                <c:pt idx="155">
                  <c:v>41.756249999999994</c:v>
                </c:pt>
                <c:pt idx="156">
                  <c:v>10.939999999999998</c:v>
                </c:pt>
                <c:pt idx="157">
                  <c:v>5.91</c:v>
                </c:pt>
                <c:pt idx="158">
                  <c:v>1.5399999999999956</c:v>
                </c:pt>
                <c:pt idx="159">
                  <c:v>8.5299999999999958</c:v>
                </c:pt>
                <c:pt idx="160">
                  <c:v>14.02</c:v>
                </c:pt>
                <c:pt idx="161">
                  <c:v>6.75</c:v>
                </c:pt>
                <c:pt idx="162">
                  <c:v>17.649999999999999</c:v>
                </c:pt>
                <c:pt idx="163">
                  <c:v>31.79</c:v>
                </c:pt>
                <c:pt idx="164">
                  <c:v>16.91</c:v>
                </c:pt>
                <c:pt idx="165">
                  <c:v>11.229999999999997</c:v>
                </c:pt>
                <c:pt idx="166">
                  <c:v>11.95</c:v>
                </c:pt>
                <c:pt idx="167">
                  <c:v>15.520000000000001</c:v>
                </c:pt>
                <c:pt idx="168">
                  <c:v>10.3</c:v>
                </c:pt>
                <c:pt idx="169">
                  <c:v>31.169999999999995</c:v>
                </c:pt>
                <c:pt idx="170">
                  <c:v>3.4400000000000013</c:v>
                </c:pt>
                <c:pt idx="171">
                  <c:v>7.9399999999999977</c:v>
                </c:pt>
                <c:pt idx="172">
                  <c:v>5.2100000000000009</c:v>
                </c:pt>
                <c:pt idx="173">
                  <c:v>15.27</c:v>
                </c:pt>
                <c:pt idx="174">
                  <c:v>18.700000000000003</c:v>
                </c:pt>
                <c:pt idx="175">
                  <c:v>35.42</c:v>
                </c:pt>
                <c:pt idx="176">
                  <c:v>31.819999999999997</c:v>
                </c:pt>
                <c:pt idx="177">
                  <c:v>41.756249999999994</c:v>
                </c:pt>
                <c:pt idx="178">
                  <c:v>19.339999999999996</c:v>
                </c:pt>
                <c:pt idx="179">
                  <c:v>14.519999999999998</c:v>
                </c:pt>
                <c:pt idx="180">
                  <c:v>13.64</c:v>
                </c:pt>
                <c:pt idx="181">
                  <c:v>13.59</c:v>
                </c:pt>
                <c:pt idx="182">
                  <c:v>16.59</c:v>
                </c:pt>
                <c:pt idx="183">
                  <c:v>21.540000000000006</c:v>
                </c:pt>
                <c:pt idx="184">
                  <c:v>24.03</c:v>
                </c:pt>
                <c:pt idx="185">
                  <c:v>35.209999999999994</c:v>
                </c:pt>
                <c:pt idx="186">
                  <c:v>4.3599999999999994</c:v>
                </c:pt>
                <c:pt idx="187">
                  <c:v>26.18</c:v>
                </c:pt>
                <c:pt idx="188">
                  <c:v>34.070000000000007</c:v>
                </c:pt>
                <c:pt idx="189">
                  <c:v>18.560000000000002</c:v>
                </c:pt>
                <c:pt idx="190">
                  <c:v>22.18</c:v>
                </c:pt>
                <c:pt idx="191">
                  <c:v>10.549999999999999</c:v>
                </c:pt>
                <c:pt idx="192">
                  <c:v>11.129999999999999</c:v>
                </c:pt>
                <c:pt idx="193">
                  <c:v>36.24</c:v>
                </c:pt>
                <c:pt idx="194">
                  <c:v>17.100000000000001</c:v>
                </c:pt>
                <c:pt idx="195">
                  <c:v>0.14999999999999947</c:v>
                </c:pt>
                <c:pt idx="196">
                  <c:v>8.6300000000000008</c:v>
                </c:pt>
                <c:pt idx="197">
                  <c:v>19.79</c:v>
                </c:pt>
                <c:pt idx="198">
                  <c:v>22.879999999999995</c:v>
                </c:pt>
                <c:pt idx="199">
                  <c:v>1</c:v>
                </c:pt>
              </c:numCache>
            </c:numRef>
          </c:xVal>
          <c:yVal>
            <c:numRef>
              <c:f>Regression_Plots!$H$2:$H$1015</c:f>
              <c:numCache>
                <c:formatCode>0</c:formatCode>
                <c:ptCount val="1014"/>
                <c:pt idx="0">
                  <c:v>236</c:v>
                </c:pt>
                <c:pt idx="1">
                  <c:v>122</c:v>
                </c:pt>
                <c:pt idx="2">
                  <c:v>96</c:v>
                </c:pt>
                <c:pt idx="3">
                  <c:v>197</c:v>
                </c:pt>
                <c:pt idx="4">
                  <c:v>137</c:v>
                </c:pt>
                <c:pt idx="5">
                  <c:v>86</c:v>
                </c:pt>
                <c:pt idx="6">
                  <c:v>123</c:v>
                </c:pt>
                <c:pt idx="7">
                  <c:v>152</c:v>
                </c:pt>
                <c:pt idx="8">
                  <c:v>54</c:v>
                </c:pt>
                <c:pt idx="9">
                  <c:v>119</c:v>
                </c:pt>
                <c:pt idx="10">
                  <c:v>95</c:v>
                </c:pt>
                <c:pt idx="11">
                  <c:v>151.5</c:v>
                </c:pt>
                <c:pt idx="12">
                  <c:v>95</c:v>
                </c:pt>
                <c:pt idx="13">
                  <c:v>113</c:v>
                </c:pt>
                <c:pt idx="14">
                  <c:v>191</c:v>
                </c:pt>
                <c:pt idx="15">
                  <c:v>240</c:v>
                </c:pt>
                <c:pt idx="16">
                  <c:v>135</c:v>
                </c:pt>
                <c:pt idx="17">
                  <c:v>258</c:v>
                </c:pt>
                <c:pt idx="18">
                  <c:v>127</c:v>
                </c:pt>
                <c:pt idx="19">
                  <c:v>148</c:v>
                </c:pt>
                <c:pt idx="20">
                  <c:v>188</c:v>
                </c:pt>
                <c:pt idx="21">
                  <c:v>127</c:v>
                </c:pt>
                <c:pt idx="22">
                  <c:v>170.89285714285714</c:v>
                </c:pt>
                <c:pt idx="23">
                  <c:v>175</c:v>
                </c:pt>
                <c:pt idx="24">
                  <c:v>110</c:v>
                </c:pt>
                <c:pt idx="25">
                  <c:v>139</c:v>
                </c:pt>
                <c:pt idx="26">
                  <c:v>167</c:v>
                </c:pt>
                <c:pt idx="27">
                  <c:v>168</c:v>
                </c:pt>
                <c:pt idx="28">
                  <c:v>199</c:v>
                </c:pt>
                <c:pt idx="29">
                  <c:v>123</c:v>
                </c:pt>
                <c:pt idx="30">
                  <c:v>231</c:v>
                </c:pt>
                <c:pt idx="31">
                  <c:v>126</c:v>
                </c:pt>
                <c:pt idx="32">
                  <c:v>112</c:v>
                </c:pt>
                <c:pt idx="33">
                  <c:v>184</c:v>
                </c:pt>
                <c:pt idx="34">
                  <c:v>91.5</c:v>
                </c:pt>
                <c:pt idx="35">
                  <c:v>129</c:v>
                </c:pt>
                <c:pt idx="36">
                  <c:v>256</c:v>
                </c:pt>
                <c:pt idx="37">
                  <c:v>152</c:v>
                </c:pt>
                <c:pt idx="38">
                  <c:v>114</c:v>
                </c:pt>
                <c:pt idx="39">
                  <c:v>230</c:v>
                </c:pt>
                <c:pt idx="40">
                  <c:v>179</c:v>
                </c:pt>
                <c:pt idx="41">
                  <c:v>186</c:v>
                </c:pt>
                <c:pt idx="42">
                  <c:v>226</c:v>
                </c:pt>
                <c:pt idx="43">
                  <c:v>149</c:v>
                </c:pt>
                <c:pt idx="44">
                  <c:v>89</c:v>
                </c:pt>
                <c:pt idx="45">
                  <c:v>165</c:v>
                </c:pt>
                <c:pt idx="46">
                  <c:v>119</c:v>
                </c:pt>
                <c:pt idx="47">
                  <c:v>245</c:v>
                </c:pt>
                <c:pt idx="48">
                  <c:v>149</c:v>
                </c:pt>
                <c:pt idx="49">
                  <c:v>111</c:v>
                </c:pt>
                <c:pt idx="50">
                  <c:v>122</c:v>
                </c:pt>
                <c:pt idx="51">
                  <c:v>112</c:v>
                </c:pt>
                <c:pt idx="52">
                  <c:v>235</c:v>
                </c:pt>
                <c:pt idx="53">
                  <c:v>225</c:v>
                </c:pt>
                <c:pt idx="54">
                  <c:v>220</c:v>
                </c:pt>
                <c:pt idx="55">
                  <c:v>240</c:v>
                </c:pt>
                <c:pt idx="56">
                  <c:v>71</c:v>
                </c:pt>
                <c:pt idx="57">
                  <c:v>133</c:v>
                </c:pt>
                <c:pt idx="58">
                  <c:v>239</c:v>
                </c:pt>
                <c:pt idx="59">
                  <c:v>186</c:v>
                </c:pt>
                <c:pt idx="60">
                  <c:v>83</c:v>
                </c:pt>
                <c:pt idx="61">
                  <c:v>240</c:v>
                </c:pt>
                <c:pt idx="62">
                  <c:v>170</c:v>
                </c:pt>
                <c:pt idx="63">
                  <c:v>291.75</c:v>
                </c:pt>
                <c:pt idx="64">
                  <c:v>187</c:v>
                </c:pt>
                <c:pt idx="65">
                  <c:v>109</c:v>
                </c:pt>
                <c:pt idx="66">
                  <c:v>104</c:v>
                </c:pt>
                <c:pt idx="67">
                  <c:v>135</c:v>
                </c:pt>
                <c:pt idx="68">
                  <c:v>196</c:v>
                </c:pt>
                <c:pt idx="69">
                  <c:v>229</c:v>
                </c:pt>
                <c:pt idx="70">
                  <c:v>196</c:v>
                </c:pt>
                <c:pt idx="71">
                  <c:v>129</c:v>
                </c:pt>
                <c:pt idx="72">
                  <c:v>106</c:v>
                </c:pt>
                <c:pt idx="73">
                  <c:v>117</c:v>
                </c:pt>
                <c:pt idx="74">
                  <c:v>187</c:v>
                </c:pt>
                <c:pt idx="75">
                  <c:v>105</c:v>
                </c:pt>
                <c:pt idx="76">
                  <c:v>83</c:v>
                </c:pt>
                <c:pt idx="77">
                  <c:v>149</c:v>
                </c:pt>
                <c:pt idx="78">
                  <c:v>62</c:v>
                </c:pt>
                <c:pt idx="79">
                  <c:v>120</c:v>
                </c:pt>
                <c:pt idx="80">
                  <c:v>120</c:v>
                </c:pt>
                <c:pt idx="81">
                  <c:v>128</c:v>
                </c:pt>
                <c:pt idx="82">
                  <c:v>128</c:v>
                </c:pt>
                <c:pt idx="83">
                  <c:v>149</c:v>
                </c:pt>
                <c:pt idx="84">
                  <c:v>223</c:v>
                </c:pt>
                <c:pt idx="85">
                  <c:v>159</c:v>
                </c:pt>
                <c:pt idx="86">
                  <c:v>122</c:v>
                </c:pt>
                <c:pt idx="87">
                  <c:v>180</c:v>
                </c:pt>
                <c:pt idx="88">
                  <c:v>147</c:v>
                </c:pt>
                <c:pt idx="89">
                  <c:v>177</c:v>
                </c:pt>
                <c:pt idx="90">
                  <c:v>93</c:v>
                </c:pt>
                <c:pt idx="91">
                  <c:v>74</c:v>
                </c:pt>
                <c:pt idx="92">
                  <c:v>291.75</c:v>
                </c:pt>
                <c:pt idx="93">
                  <c:v>225</c:v>
                </c:pt>
                <c:pt idx="94">
                  <c:v>117</c:v>
                </c:pt>
                <c:pt idx="95">
                  <c:v>175</c:v>
                </c:pt>
                <c:pt idx="96">
                  <c:v>132</c:v>
                </c:pt>
                <c:pt idx="97">
                  <c:v>168</c:v>
                </c:pt>
                <c:pt idx="98">
                  <c:v>257</c:v>
                </c:pt>
                <c:pt idx="99">
                  <c:v>183</c:v>
                </c:pt>
                <c:pt idx="100">
                  <c:v>137</c:v>
                </c:pt>
                <c:pt idx="101">
                  <c:v>254</c:v>
                </c:pt>
                <c:pt idx="102">
                  <c:v>158</c:v>
                </c:pt>
                <c:pt idx="103">
                  <c:v>163</c:v>
                </c:pt>
                <c:pt idx="104">
                  <c:v>208</c:v>
                </c:pt>
                <c:pt idx="105">
                  <c:v>196</c:v>
                </c:pt>
                <c:pt idx="106">
                  <c:v>86</c:v>
                </c:pt>
                <c:pt idx="107">
                  <c:v>104</c:v>
                </c:pt>
                <c:pt idx="108">
                  <c:v>54</c:v>
                </c:pt>
                <c:pt idx="109">
                  <c:v>140.72222222222223</c:v>
                </c:pt>
                <c:pt idx="110">
                  <c:v>150</c:v>
                </c:pt>
                <c:pt idx="111">
                  <c:v>221</c:v>
                </c:pt>
                <c:pt idx="112">
                  <c:v>159</c:v>
                </c:pt>
                <c:pt idx="113">
                  <c:v>167</c:v>
                </c:pt>
                <c:pt idx="114">
                  <c:v>152</c:v>
                </c:pt>
                <c:pt idx="115">
                  <c:v>133</c:v>
                </c:pt>
                <c:pt idx="116">
                  <c:v>129</c:v>
                </c:pt>
                <c:pt idx="117">
                  <c:v>108</c:v>
                </c:pt>
                <c:pt idx="118">
                  <c:v>172</c:v>
                </c:pt>
                <c:pt idx="119">
                  <c:v>77</c:v>
                </c:pt>
                <c:pt idx="120">
                  <c:v>163</c:v>
                </c:pt>
                <c:pt idx="121">
                  <c:v>81</c:v>
                </c:pt>
                <c:pt idx="122">
                  <c:v>125</c:v>
                </c:pt>
                <c:pt idx="123">
                  <c:v>171</c:v>
                </c:pt>
                <c:pt idx="124">
                  <c:v>201</c:v>
                </c:pt>
                <c:pt idx="125">
                  <c:v>126</c:v>
                </c:pt>
                <c:pt idx="126">
                  <c:v>78</c:v>
                </c:pt>
                <c:pt idx="127">
                  <c:v>92</c:v>
                </c:pt>
                <c:pt idx="128">
                  <c:v>264</c:v>
                </c:pt>
                <c:pt idx="129">
                  <c:v>116</c:v>
                </c:pt>
                <c:pt idx="130">
                  <c:v>28</c:v>
                </c:pt>
                <c:pt idx="131">
                  <c:v>147</c:v>
                </c:pt>
                <c:pt idx="132">
                  <c:v>71</c:v>
                </c:pt>
                <c:pt idx="133">
                  <c:v>164.45535714285714</c:v>
                </c:pt>
                <c:pt idx="134">
                  <c:v>124</c:v>
                </c:pt>
                <c:pt idx="135">
                  <c:v>124</c:v>
                </c:pt>
                <c:pt idx="136">
                  <c:v>98</c:v>
                </c:pt>
                <c:pt idx="137">
                  <c:v>210</c:v>
                </c:pt>
                <c:pt idx="138">
                  <c:v>109</c:v>
                </c:pt>
                <c:pt idx="139">
                  <c:v>227</c:v>
                </c:pt>
                <c:pt idx="140">
                  <c:v>113</c:v>
                </c:pt>
                <c:pt idx="141">
                  <c:v>207</c:v>
                </c:pt>
                <c:pt idx="142">
                  <c:v>218</c:v>
                </c:pt>
                <c:pt idx="143">
                  <c:v>144.14285714285714</c:v>
                </c:pt>
                <c:pt idx="144">
                  <c:v>127</c:v>
                </c:pt>
                <c:pt idx="145">
                  <c:v>123</c:v>
                </c:pt>
                <c:pt idx="146">
                  <c:v>142</c:v>
                </c:pt>
                <c:pt idx="147">
                  <c:v>265</c:v>
                </c:pt>
                <c:pt idx="148">
                  <c:v>110</c:v>
                </c:pt>
                <c:pt idx="149">
                  <c:v>118</c:v>
                </c:pt>
                <c:pt idx="150">
                  <c:v>166</c:v>
                </c:pt>
                <c:pt idx="151">
                  <c:v>125</c:v>
                </c:pt>
                <c:pt idx="152">
                  <c:v>169</c:v>
                </c:pt>
                <c:pt idx="153">
                  <c:v>208</c:v>
                </c:pt>
                <c:pt idx="154">
                  <c:v>166</c:v>
                </c:pt>
                <c:pt idx="155">
                  <c:v>35</c:v>
                </c:pt>
                <c:pt idx="156">
                  <c:v>173</c:v>
                </c:pt>
                <c:pt idx="157">
                  <c:v>111</c:v>
                </c:pt>
                <c:pt idx="158">
                  <c:v>85</c:v>
                </c:pt>
                <c:pt idx="159">
                  <c:v>138</c:v>
                </c:pt>
                <c:pt idx="160">
                  <c:v>159</c:v>
                </c:pt>
                <c:pt idx="161">
                  <c:v>151</c:v>
                </c:pt>
                <c:pt idx="162">
                  <c:v>168</c:v>
                </c:pt>
                <c:pt idx="163">
                  <c:v>193</c:v>
                </c:pt>
                <c:pt idx="164">
                  <c:v>132</c:v>
                </c:pt>
                <c:pt idx="165">
                  <c:v>131</c:v>
                </c:pt>
                <c:pt idx="166">
                  <c:v>90</c:v>
                </c:pt>
                <c:pt idx="167">
                  <c:v>129</c:v>
                </c:pt>
                <c:pt idx="168">
                  <c:v>185</c:v>
                </c:pt>
                <c:pt idx="169">
                  <c:v>162</c:v>
                </c:pt>
                <c:pt idx="170">
                  <c:v>90</c:v>
                </c:pt>
                <c:pt idx="171">
                  <c:v>163</c:v>
                </c:pt>
                <c:pt idx="172">
                  <c:v>93</c:v>
                </c:pt>
                <c:pt idx="173">
                  <c:v>129</c:v>
                </c:pt>
                <c:pt idx="174">
                  <c:v>127</c:v>
                </c:pt>
                <c:pt idx="175">
                  <c:v>271</c:v>
                </c:pt>
                <c:pt idx="176">
                  <c:v>216</c:v>
                </c:pt>
                <c:pt idx="177">
                  <c:v>131</c:v>
                </c:pt>
                <c:pt idx="178">
                  <c:v>131</c:v>
                </c:pt>
                <c:pt idx="179">
                  <c:v>135</c:v>
                </c:pt>
                <c:pt idx="180">
                  <c:v>108</c:v>
                </c:pt>
                <c:pt idx="181">
                  <c:v>124</c:v>
                </c:pt>
                <c:pt idx="182">
                  <c:v>105</c:v>
                </c:pt>
                <c:pt idx="183">
                  <c:v>272</c:v>
                </c:pt>
                <c:pt idx="184">
                  <c:v>188</c:v>
                </c:pt>
                <c:pt idx="185">
                  <c:v>228</c:v>
                </c:pt>
                <c:pt idx="186">
                  <c:v>108</c:v>
                </c:pt>
                <c:pt idx="187">
                  <c:v>186</c:v>
                </c:pt>
                <c:pt idx="188">
                  <c:v>167</c:v>
                </c:pt>
                <c:pt idx="189">
                  <c:v>83</c:v>
                </c:pt>
                <c:pt idx="190">
                  <c:v>114</c:v>
                </c:pt>
                <c:pt idx="191">
                  <c:v>116</c:v>
                </c:pt>
                <c:pt idx="192">
                  <c:v>62</c:v>
                </c:pt>
                <c:pt idx="193">
                  <c:v>204</c:v>
                </c:pt>
                <c:pt idx="194">
                  <c:v>184</c:v>
                </c:pt>
                <c:pt idx="195">
                  <c:v>91</c:v>
                </c:pt>
                <c:pt idx="196">
                  <c:v>116</c:v>
                </c:pt>
                <c:pt idx="197">
                  <c:v>139</c:v>
                </c:pt>
                <c:pt idx="198">
                  <c:v>235.5</c:v>
                </c:pt>
                <c:pt idx="199">
                  <c:v>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8E-4DF2-B7C8-00478D939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5480591"/>
        <c:axId val="1826057903"/>
      </c:scatterChart>
      <c:valAx>
        <c:axId val="1795480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26057903"/>
        <c:crosses val="autoZero"/>
        <c:crossBetween val="midCat"/>
      </c:valAx>
      <c:valAx>
        <c:axId val="182605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795480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</cx:chartData>
  <cx:chart>
    <cx:plotArea>
      <cx:plotAreaRegion>
        <cx:series layoutId="boxWhisker" uniqueId="{013A9ABF-06FE-4179-B0E5-D9931B834DB3}">
          <cx:tx>
            <cx:txData>
              <cx:f>_xlchart.v1.14</cx:f>
              <cx:v>Influencer_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</cx:chartData>
  <cx:chart>
    <cx:plotArea>
      <cx:plotAreaRegion>
        <cx:series layoutId="boxWhisker" uniqueId="{7253FD1A-892E-41F7-B151-E710AB711690}">
          <cx:tx>
            <cx:txData>
              <cx:f>_xlchart.v1.10</cx:f>
              <cx:v>TIKTOK_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plotArea>
      <cx:plotAreaRegion>
        <cx:series layoutId="boxWhisker" uniqueId="{CCF0333D-8C0D-49BA-B762-B5AD7846EBB9}">
          <cx:tx>
            <cx:txData>
              <cx:f>_xlchart.v1.6</cx:f>
              <cx:v>SALES_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series layoutId="boxWhisker" uniqueId="{9BEE2873-EFCA-4982-96C4-F268CB245D3F}">
          <cx:tx>
            <cx:txData>
              <cx:f>_xlchart.v1.0</cx:f>
              <cx:v>Meta_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</cx:chartData>
  <cx:chart>
    <cx:plotArea>
      <cx:plotAreaRegion>
        <cx:series layoutId="boxWhisker" uniqueId="{A40827CD-5723-4C00-B0AD-16F5CC98B936}">
          <cx:tx>
            <cx:txData>
              <cx:f>_xlchart.v1.16</cx:f>
              <cx:v>GoogleAds_</cx:v>
            </cx:txData>
          </cx:tx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708421</xdr:colOff>
      <xdr:row>33</xdr:row>
      <xdr:rowOff>17860</xdr:rowOff>
    </xdr:from>
    <xdr:to>
      <xdr:col>18</xdr:col>
      <xdr:colOff>117740</xdr:colOff>
      <xdr:row>46</xdr:row>
      <xdr:rowOff>181372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E010728-42E1-4FDD-A128-E3C74398D1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23094" y="6988970"/>
              <a:ext cx="4558771" cy="27947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18</xdr:col>
      <xdr:colOff>381000</xdr:colOff>
      <xdr:row>33</xdr:row>
      <xdr:rowOff>11907</xdr:rowOff>
    </xdr:from>
    <xdr:to>
      <xdr:col>24</xdr:col>
      <xdr:colOff>16536</xdr:colOff>
      <xdr:row>46</xdr:row>
      <xdr:rowOff>175419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8DDF1FC8-F08E-4239-ABDE-97A6734F19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45125" y="6983017"/>
              <a:ext cx="4558771" cy="27947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398860</xdr:colOff>
      <xdr:row>48</xdr:row>
      <xdr:rowOff>11907</xdr:rowOff>
    </xdr:from>
    <xdr:to>
      <xdr:col>21</xdr:col>
      <xdr:colOff>34396</xdr:colOff>
      <xdr:row>61</xdr:row>
      <xdr:rowOff>175419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9BE8CBE1-6C8D-487C-A700-5930D95440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769829" y="10019111"/>
              <a:ext cx="4558771" cy="27947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18</xdr:col>
      <xdr:colOff>386954</xdr:colOff>
      <xdr:row>17</xdr:row>
      <xdr:rowOff>154781</xdr:rowOff>
    </xdr:from>
    <xdr:to>
      <xdr:col>24</xdr:col>
      <xdr:colOff>22490</xdr:colOff>
      <xdr:row>32</xdr:row>
      <xdr:rowOff>20636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3218DCE4-2D72-4619-99B0-8C43B47EF0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51079" y="3887391"/>
              <a:ext cx="4558771" cy="29019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720327</xdr:colOff>
      <xdr:row>17</xdr:row>
      <xdr:rowOff>160735</xdr:rowOff>
    </xdr:from>
    <xdr:to>
      <xdr:col>18</xdr:col>
      <xdr:colOff>129646</xdr:colOff>
      <xdr:row>31</xdr:row>
      <xdr:rowOff>160734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8FEA3F3D-8998-40C9-9EF0-4930BA5CA5F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000" y="3893345"/>
              <a:ext cx="4558771" cy="28336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797322</xdr:colOff>
      <xdr:row>1</xdr:row>
      <xdr:rowOff>11906</xdr:rowOff>
    </xdr:from>
    <xdr:to>
      <xdr:col>16</xdr:col>
      <xdr:colOff>581025</xdr:colOff>
      <xdr:row>15</xdr:row>
      <xdr:rowOff>151606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264DAB-D386-44B2-9ACB-A1A1B06CD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24606</xdr:colOff>
      <xdr:row>18</xdr:row>
      <xdr:rowOff>11510</xdr:rowOff>
    </xdr:from>
    <xdr:to>
      <xdr:col>16</xdr:col>
      <xdr:colOff>561578</xdr:colOff>
      <xdr:row>36</xdr:row>
      <xdr:rowOff>67866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8BBD63-BC75-48BA-BFA0-B51952D30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üliz samgar" id="{28223B6B-9F49-45F0-89D5-1D9700C9CE4F}" userId="güliz samga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66.572767361111" createdVersion="8" refreshedVersion="8" minRefreshableVersion="3" recordCount="200" xr:uid="{6687515D-CC08-5445-9EB0-5BB1CB5E4293}">
  <cacheSource type="worksheet">
    <worksheetSource ref="A1:H201" sheet="Missing_Values"/>
  </cacheSource>
  <cacheFields count="8">
    <cacheField name="ID" numFmtId="0">
      <sharedItems containsSemiMixedTypes="0" containsString="0" containsNumber="1" containsInteger="1" minValue="1" maxValue="200"/>
    </cacheField>
    <cacheField name="WEEKDAY" numFmtId="0">
      <sharedItems containsSemiMixedTypes="0" containsString="0" containsNumber="1" containsInteger="1" minValue="1" maxValue="7" count="7">
        <n v="6"/>
        <n v="7"/>
        <n v="1"/>
        <n v="2"/>
        <n v="3"/>
        <n v="4"/>
        <n v="5"/>
      </sharedItems>
    </cacheField>
    <cacheField name="DAYS" numFmtId="14">
      <sharedItems containsSemiMixedTypes="0" containsNonDate="0" containsDate="1" containsString="0" minDate="2023-03-11T00:00:00" maxDate="2023-09-27T00:00:00"/>
    </cacheField>
    <cacheField name="GoogleAds" numFmtId="165">
      <sharedItems containsString="0" containsBlank="1" containsNumber="1" minValue="3.46" maxValue="196.98"/>
    </cacheField>
    <cacheField name="Meta" numFmtId="165">
      <sharedItems containsString="0" containsBlank="1" containsNumber="1" minValue="0" maxValue="225.5"/>
    </cacheField>
    <cacheField name="Influencer" numFmtId="165">
      <sharedItems containsString="0" containsBlank="1" containsNumber="1" minValue="0.3" maxValue="93.625"/>
    </cacheField>
    <cacheField name="TIKTOK" numFmtId="165">
      <sharedItems containsString="0" containsBlank="1" containsNumber="1" minValue="0.12000000000000455" maxValue="111"/>
    </cacheField>
    <cacheField name="SALES" numFmtId="165">
      <sharedItems containsString="0" containsBlank="1" containsNumber="1" minValue="28" maxValue="8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"/>
    <x v="0"/>
    <d v="2023-03-11T00:00:00"/>
    <n v="56.02"/>
    <n v="37.799999999999997"/>
    <n v="69.2"/>
    <n v="14.229999999999993"/>
    <n v="236"/>
  </r>
  <r>
    <n v="2"/>
    <x v="1"/>
    <d v="2023-03-12T00:00:00"/>
    <n v="10.9"/>
    <n v="39.299999999999997"/>
    <n v="45.1"/>
    <n v="6.0599999999999952"/>
    <n v="122"/>
  </r>
  <r>
    <n v="3"/>
    <x v="2"/>
    <d v="2023-03-13T00:00:00"/>
    <n v="12.44"/>
    <n v="45.9"/>
    <n v="69.3"/>
    <n v="16.95"/>
    <n v="96"/>
  </r>
  <r>
    <n v="4"/>
    <x v="3"/>
    <d v="2023-03-14T00:00:00"/>
    <n v="31.3"/>
    <n v="41.3"/>
    <n v="58.5"/>
    <n v="12.399999999999995"/>
    <n v="197"/>
  </r>
  <r>
    <n v="5"/>
    <x v="4"/>
    <d v="2023-03-15T00:00:00"/>
    <n v="46.160000000000004"/>
    <n v="10.8"/>
    <n v="58.4"/>
    <n v="0.12000000000000455"/>
    <n v="137"/>
  </r>
  <r>
    <n v="6"/>
    <x v="5"/>
    <d v="2023-03-16T00:00:00"/>
    <n v="6.74"/>
    <n v="48.9"/>
    <n v="75"/>
    <n v="15.32"/>
    <n v="86"/>
  </r>
  <r>
    <n v="7"/>
    <x v="6"/>
    <d v="2023-03-17T00:00:00"/>
    <n v="13.5"/>
    <n v="32.799999999999997"/>
    <n v="23.5"/>
    <n v="12.749999999999998"/>
    <n v="123"/>
  </r>
  <r>
    <n v="8"/>
    <x v="0"/>
    <d v="2023-03-18T00:00:00"/>
    <n v="31.04"/>
    <n v="19.600000000000001"/>
    <n v="11.6"/>
    <n v="17.18"/>
    <n v="152"/>
  </r>
  <r>
    <n v="9"/>
    <x v="1"/>
    <d v="2023-03-19T00:00:00"/>
    <n v="9.7200000000000006"/>
    <n v="2.1"/>
    <n v="1"/>
    <n v="1.5100000000000002"/>
    <n v="54"/>
  </r>
  <r>
    <n v="10"/>
    <x v="2"/>
    <d v="2023-03-20T00:00:00"/>
    <n v="40.96"/>
    <n v="2.6"/>
    <n v="21.2"/>
    <n v="12.8"/>
    <n v="119"/>
  </r>
  <r>
    <n v="11"/>
    <x v="3"/>
    <d v="2023-03-21T00:00:00"/>
    <n v="23.22"/>
    <n v="5.8"/>
    <n v="24.2"/>
    <n v="19.829999999999998"/>
    <n v="95"/>
  </r>
  <r>
    <n v="12"/>
    <x v="4"/>
    <d v="2023-03-22T00:00:00"/>
    <n v="50.94"/>
    <n v="24"/>
    <n v="4"/>
    <n v="31.869999999999997"/>
    <n v="151.5"/>
  </r>
  <r>
    <n v="13"/>
    <x v="5"/>
    <d v="2023-03-23T00:00:00"/>
    <n v="10.76"/>
    <n v="35.1"/>
    <n v="65.900000000000006"/>
    <m/>
    <n v="95"/>
  </r>
  <r>
    <n v="14"/>
    <x v="6"/>
    <d v="2023-03-24T00:00:00"/>
    <n v="26.5"/>
    <n v="7.6"/>
    <n v="7.2"/>
    <m/>
    <n v="113"/>
  </r>
  <r>
    <n v="15"/>
    <x v="0"/>
    <d v="2023-03-25T00:00:00"/>
    <n v="44.82"/>
    <n v="32.9"/>
    <n v="46"/>
    <n v="18.459999999999997"/>
    <n v="191"/>
  </r>
  <r>
    <n v="16"/>
    <x v="1"/>
    <d v="2023-03-26T00:00:00"/>
    <n v="42.08"/>
    <n v="47.7"/>
    <n v="52.9"/>
    <n v="22.23"/>
    <n v="240"/>
  </r>
  <r>
    <n v="17"/>
    <x v="2"/>
    <d v="2023-03-27T00:00:00"/>
    <n v="89.06"/>
    <n v="36.6"/>
    <n v="93.625"/>
    <n v="23.379999999999995"/>
    <n v="135"/>
  </r>
  <r>
    <n v="18"/>
    <x v="3"/>
    <d v="2023-03-28T00:00:00"/>
    <n v="62.279999999999994"/>
    <n v="39.6"/>
    <n v="55.8"/>
    <n v="25.619999999999997"/>
    <n v="258"/>
  </r>
  <r>
    <n v="19"/>
    <x v="4"/>
    <d v="2023-03-29T00:00:00"/>
    <n v="14.84"/>
    <n v="20.5"/>
    <n v="18.3"/>
    <n v="9.8500000000000014"/>
    <n v="127"/>
  </r>
  <r>
    <n v="20"/>
    <x v="5"/>
    <d v="2023-03-30T00:00:00"/>
    <n v="32.46"/>
    <n v="23.9"/>
    <n v="19.100000000000001"/>
    <n v="19.04"/>
    <n v="148"/>
  </r>
  <r>
    <n v="21"/>
    <x v="6"/>
    <d v="2023-03-31T00:00:00"/>
    <n v="46.68"/>
    <n v="27.7"/>
    <n v="53.4"/>
    <n v="14.329999999999998"/>
    <n v="188"/>
  </r>
  <r>
    <n v="22"/>
    <x v="0"/>
    <d v="2023-04-01T00:00:00"/>
    <n v="48.480000000000004"/>
    <n v="123"/>
    <n v="23.5"/>
    <n v="16.89"/>
    <n v="127"/>
  </r>
  <r>
    <n v="23"/>
    <x v="1"/>
    <d v="2023-04-02T00:00:00"/>
    <n v="11.64"/>
    <n v="15.9"/>
    <n v="49.6"/>
    <n v="9.4299999999999962"/>
    <m/>
  </r>
  <r>
    <n v="24"/>
    <x v="2"/>
    <d v="2023-04-03T00:00:00"/>
    <n v="49.660000000000004"/>
    <n v="16.899999999999999"/>
    <n v="26.2"/>
    <n v="20.8"/>
    <n v="175"/>
  </r>
  <r>
    <n v="25"/>
    <x v="3"/>
    <d v="2023-04-04T00:00:00"/>
    <n v="20.46"/>
    <n v="12.6"/>
    <n v="18.3"/>
    <n v="5.2099999999999991"/>
    <n v="110"/>
  </r>
  <r>
    <n v="26"/>
    <x v="4"/>
    <d v="2023-04-05T00:00:00"/>
    <n v="59.58"/>
    <n v="3.5"/>
    <n v="19.5"/>
    <n v="20.239999999999998"/>
    <n v="139"/>
  </r>
  <r>
    <n v="27"/>
    <x v="5"/>
    <d v="2023-04-06T00:00:00"/>
    <n v="38.58"/>
    <n v="29.3"/>
    <n v="12.6"/>
    <n v="23.900000000000002"/>
    <n v="167"/>
  </r>
  <r>
    <n v="28"/>
    <x v="6"/>
    <d v="2023-04-07T00:00:00"/>
    <n v="49.019999999999996"/>
    <n v="16.7"/>
    <n v="22.9"/>
    <n v="23.2"/>
    <n v="168"/>
  </r>
  <r>
    <n v="29"/>
    <x v="0"/>
    <d v="2023-04-08T00:00:00"/>
    <n v="52.760000000000005"/>
    <n v="27.1"/>
    <n v="22.9"/>
    <n v="29.270000000000007"/>
    <n v="199"/>
  </r>
  <r>
    <n v="30"/>
    <x v="1"/>
    <d v="2023-04-09T00:00:00"/>
    <n v="15.12"/>
    <n v="16"/>
    <n v="40.799999999999997"/>
    <n v="18.739999999999998"/>
    <n v="123"/>
  </r>
  <r>
    <n v="31"/>
    <x v="2"/>
    <d v="2023-04-10T00:00:00"/>
    <n v="59.58"/>
    <n v="28.3"/>
    <n v="43.2"/>
    <n v="26.159999999999997"/>
    <n v="231"/>
  </r>
  <r>
    <n v="32"/>
    <x v="3"/>
    <d v="2023-04-11T00:00:00"/>
    <n v="92.987500000000011"/>
    <n v="17.399999999999999"/>
    <n v="38.6"/>
    <n v="37.253750000000011"/>
    <n v="126"/>
  </r>
  <r>
    <n v="33"/>
    <x v="4"/>
    <d v="2023-04-12T00:00:00"/>
    <n v="20.440000000000001"/>
    <n v="1.5"/>
    <n v="30"/>
    <n v="18.47"/>
    <n v="112"/>
  </r>
  <r>
    <n v="34"/>
    <x v="5"/>
    <d v="2023-04-13T00:00:00"/>
    <n v="61.120000000000005"/>
    <n v="20"/>
    <n v="0.3"/>
    <n v="36.440000000000005"/>
    <n v="184"/>
  </r>
  <r>
    <n v="35"/>
    <x v="6"/>
    <d v="2023-04-14T00:00:00"/>
    <n v="24.14"/>
    <n v="1.4"/>
    <n v="7.4"/>
    <n v="7.3099999999999987"/>
    <n v="91.5"/>
  </r>
  <r>
    <n v="36"/>
    <x v="0"/>
    <d v="2023-04-15T00:00:00"/>
    <n v="62.14"/>
    <n v="4.0999999999999996"/>
    <n v="8.5"/>
    <n v="27.72"/>
    <n v="129"/>
  </r>
  <r>
    <n v="37"/>
    <x v="1"/>
    <d v="2023-04-16T00:00:00"/>
    <n v="56.379999999999995"/>
    <n v="43.8"/>
    <n v="5"/>
    <n v="46.589999999999996"/>
    <n v="256"/>
  </r>
  <r>
    <n v="38"/>
    <x v="2"/>
    <d v="2023-04-17T00:00:00"/>
    <n v="24.94"/>
    <n v="49.4"/>
    <n v="45.7"/>
    <n v="13.89"/>
    <n v="152"/>
  </r>
  <r>
    <n v="39"/>
    <x v="3"/>
    <d v="2023-04-18T00:00:00"/>
    <n v="14.620000000000001"/>
    <n v="26.7"/>
    <n v="35.1"/>
    <n v="3.6199999999999992"/>
    <n v="114"/>
  </r>
  <r>
    <n v="40"/>
    <x v="4"/>
    <d v="2023-04-19T00:00:00"/>
    <n v="53.6"/>
    <n v="37.700000000000003"/>
    <n v="32"/>
    <n v="28.850000000000005"/>
    <n v="230"/>
  </r>
  <r>
    <n v="41"/>
    <x v="5"/>
    <d v="2023-04-20T00:00:00"/>
    <n v="45.5"/>
    <n v="22.3"/>
    <n v="31.6"/>
    <n v="18.759999999999998"/>
    <n v="179"/>
  </r>
  <r>
    <n v="42"/>
    <x v="6"/>
    <d v="2023-04-21T00:00:00"/>
    <n v="40.4"/>
    <n v="33.4"/>
    <n v="38.700000000000003"/>
    <n v="18.919999999999995"/>
    <n v="186"/>
  </r>
  <r>
    <n v="43"/>
    <x v="0"/>
    <d v="2023-04-22T00:00:00"/>
    <n v="67.72"/>
    <n v="27.7"/>
    <n v="1.8"/>
    <n v="42.49"/>
    <n v="226"/>
  </r>
  <r>
    <n v="44"/>
    <x v="1"/>
    <d v="2023-04-23T00:00:00"/>
    <n v="51.38"/>
    <n v="8.4"/>
    <n v="26.4"/>
    <n v="14.33"/>
    <n v="149"/>
  </r>
  <r>
    <n v="45"/>
    <x v="2"/>
    <d v="2023-04-24T00:00:00"/>
    <n v="12.02"/>
    <n v="25.7"/>
    <n v="43.3"/>
    <n v="18.04"/>
    <n v="89"/>
  </r>
  <r>
    <n v="46"/>
    <x v="3"/>
    <d v="2023-04-25T00:00:00"/>
    <n v="42.019999999999996"/>
    <n v="22.5"/>
    <n v="31.5"/>
    <n v="16.159999999999997"/>
    <n v="165"/>
  </r>
  <r>
    <n v="47"/>
    <x v="4"/>
    <d v="2023-04-26T00:00:00"/>
    <n v="18.940000000000001"/>
    <n v="9.9"/>
    <n v="35.700000000000003"/>
    <n v="19.64"/>
    <n v="119"/>
  </r>
  <r>
    <n v="48"/>
    <x v="5"/>
    <d v="2023-04-27T00:00:00"/>
    <n v="52.980000000000004"/>
    <n v="41.5"/>
    <n v="18.5"/>
    <n v="37.340000000000003"/>
    <n v="245"/>
  </r>
  <r>
    <n v="49"/>
    <x v="6"/>
    <d v="2023-04-28T00:00:00"/>
    <n v="46.44"/>
    <n v="15.8"/>
    <n v="49.9"/>
    <n v="10.659999999999997"/>
    <n v="149"/>
  </r>
  <r>
    <n v="50"/>
    <x v="0"/>
    <d v="2023-04-29T00:00:00"/>
    <n v="14.38"/>
    <n v="11.7"/>
    <n v="36.799999999999997"/>
    <n v="17.82"/>
    <n v="111"/>
  </r>
  <r>
    <n v="51"/>
    <x v="1"/>
    <d v="2023-04-30T00:00:00"/>
    <n v="43.96"/>
    <n v="3.1"/>
    <n v="34.6"/>
    <n v="7.6899999999999995"/>
    <n v="122"/>
  </r>
  <r>
    <n v="52"/>
    <x v="2"/>
    <d v="2023-05-01T00:00:00"/>
    <n v="29.080000000000002"/>
    <n v="9.6"/>
    <n v="3.6"/>
    <n v="13.4"/>
    <n v="112"/>
  </r>
  <r>
    <n v="53"/>
    <x v="3"/>
    <d v="2023-05-02T00:00:00"/>
    <n v="44.28"/>
    <n v="41.7"/>
    <n v="39.6"/>
    <n v="26.65"/>
    <n v="235"/>
  </r>
  <r>
    <n v="54"/>
    <x v="4"/>
    <d v="2023-05-03T00:00:00"/>
    <n v="41.519999999999996"/>
    <n v="46.2"/>
    <n v="58.7"/>
    <n v="17.879999999999995"/>
    <n v="225"/>
  </r>
  <r>
    <n v="55"/>
    <x v="5"/>
    <d v="2023-05-04T00:00:00"/>
    <n v="62.54"/>
    <n v="28.8"/>
    <n v="15.9"/>
    <n v="34.31"/>
    <n v="220"/>
  </r>
  <r>
    <n v="56"/>
    <x v="6"/>
    <d v="2023-05-05T00:00:00"/>
    <n v="40.78"/>
    <n v="49.4"/>
    <n v="60"/>
    <n v="20.590000000000003"/>
    <n v="240"/>
  </r>
  <r>
    <n v="57"/>
    <x v="0"/>
    <d v="2023-05-06T00:00:00"/>
    <n v="3.46"/>
    <n v="28.1"/>
    <n v="41.4"/>
    <n v="18.220000000000002"/>
    <n v="71"/>
  </r>
  <r>
    <n v="58"/>
    <x v="1"/>
    <d v="2023-05-07T00:00:00"/>
    <n v="33.239999999999995"/>
    <n v="19.2"/>
    <n v="16.600000000000001"/>
    <n v="16.579999999999998"/>
    <n v="133"/>
  </r>
  <r>
    <n v="59"/>
    <x v="2"/>
    <d v="2023-05-08T00:00:00"/>
    <n v="49.160000000000004"/>
    <n v="49.6"/>
    <n v="37.700000000000003"/>
    <n v="30.8"/>
    <n v="239"/>
  </r>
  <r>
    <n v="60"/>
    <x v="3"/>
    <d v="2023-05-09T00:00:00"/>
    <n v="50.14"/>
    <n v="29.5"/>
    <n v="9.3000000000000007"/>
    <n v="32.1"/>
    <n v="186"/>
  </r>
  <r>
    <n v="61"/>
    <x v="4"/>
    <d v="2023-05-10T00:00:00"/>
    <n v="16.7"/>
    <n v="2"/>
    <n v="21.4"/>
    <n v="17.79"/>
    <n v="83"/>
  </r>
  <r>
    <n v="62"/>
    <x v="5"/>
    <d v="2023-05-11T00:00:00"/>
    <n v="61.260000000000005"/>
    <n v="42.7"/>
    <n v="54.7"/>
    <n v="25.6"/>
    <n v="240"/>
  </r>
  <r>
    <n v="63"/>
    <x v="6"/>
    <d v="2023-05-12T00:00:00"/>
    <n v="53.86"/>
    <n v="15.5"/>
    <n v="27.3"/>
    <n v="20.759999999999998"/>
    <n v="170"/>
  </r>
  <r>
    <n v="64"/>
    <x v="0"/>
    <d v="2023-05-13T00:00:00"/>
    <n v="27.54"/>
    <n v="29.6"/>
    <n v="8.4"/>
    <n v="21.71"/>
    <n v="298.75"/>
  </r>
  <r>
    <n v="65"/>
    <x v="1"/>
    <d v="2023-05-14T00:00:00"/>
    <n v="27.22"/>
    <n v="42.8"/>
    <n v="28.9"/>
    <n v="22.949999999999996"/>
    <n v="187"/>
  </r>
  <r>
    <n v="66"/>
    <x v="2"/>
    <d v="2023-05-15T00:00:00"/>
    <n v="21.8"/>
    <n v="9.3000000000000007"/>
    <n v="0.9"/>
    <n v="11.190000000000001"/>
    <n v="109"/>
  </r>
  <r>
    <n v="67"/>
    <x v="3"/>
    <d v="2023-05-16T00:00:00"/>
    <n v="15.3"/>
    <n v="24.6"/>
    <n v="2.2000000000000002"/>
    <n v="14.57"/>
    <n v="104"/>
  </r>
  <r>
    <n v="68"/>
    <x v="4"/>
    <d v="2023-05-17T00:00:00"/>
    <n v="30.860000000000003"/>
    <n v="14.5"/>
    <n v="10.199999999999999"/>
    <n v="17.100000000000001"/>
    <n v="135"/>
  </r>
  <r>
    <n v="69"/>
    <x v="5"/>
    <d v="2023-05-18T00:00:00"/>
    <n v="51.480000000000004"/>
    <n v="27.5"/>
    <n v="11"/>
    <n v="33.090000000000003"/>
    <n v="196"/>
  </r>
  <r>
    <n v="70"/>
    <x v="6"/>
    <d v="2023-05-19T00:00:00"/>
    <n v="48.36"/>
    <n v="43.9"/>
    <n v="27.2"/>
    <n v="32.749999999999993"/>
    <n v="229"/>
  </r>
  <r>
    <n v="71"/>
    <x v="0"/>
    <d v="2023-05-20T00:00:00"/>
    <n v="44.82"/>
    <n v="30.6"/>
    <n v="38.700000000000003"/>
    <n v="19.729999999999997"/>
    <n v="196"/>
  </r>
  <r>
    <n v="72"/>
    <x v="1"/>
    <d v="2023-05-21T00:00:00"/>
    <n v="29.96"/>
    <n v="14.3"/>
    <n v="31.7"/>
    <n v="5.4500000000000028"/>
    <n v="129"/>
  </r>
  <r>
    <n v="73"/>
    <x v="2"/>
    <d v="2023-05-22T00:00:00"/>
    <n v="15.36"/>
    <n v="33"/>
    <n v="19.3"/>
    <n v="11.459999999999999"/>
    <n v="106"/>
  </r>
  <r>
    <n v="74"/>
    <x v="3"/>
    <d v="2023-05-23T00:00:00"/>
    <n v="28.880000000000003"/>
    <n v="5.7"/>
    <n v="31.3"/>
    <n v="3.2699999999999996"/>
    <n v="117"/>
  </r>
  <r>
    <n v="75"/>
    <x v="4"/>
    <d v="2023-05-24T00:00:00"/>
    <n v="50.68"/>
    <n v="0"/>
    <n v="13.1"/>
    <n v="28.4"/>
    <n v="187"/>
  </r>
  <r>
    <n v="76"/>
    <x v="5"/>
    <d v="2023-05-25T00:00:00"/>
    <n v="12.379999999999999"/>
    <n v="43.7"/>
    <n v="89.4"/>
    <n v="7.7799999999999976"/>
    <n v="105"/>
  </r>
  <r>
    <n v="77"/>
    <x v="6"/>
    <d v="2023-05-26T00:00:00"/>
    <n v="13.5"/>
    <n v="1.6"/>
    <n v="20.7"/>
    <n v="15.27"/>
    <n v="83"/>
  </r>
  <r>
    <n v="78"/>
    <x v="0"/>
    <d v="2023-05-27T00:00:00"/>
    <n v="25.1"/>
    <n v="28.5"/>
    <n v="14.2"/>
    <n v="20.62"/>
    <n v="149"/>
  </r>
  <r>
    <n v="79"/>
    <x v="1"/>
    <d v="2023-05-28T00:00:00"/>
    <n v="8.08"/>
    <n v="29.9"/>
    <n v="9.4"/>
    <n v="11.729999999999999"/>
    <n v="62"/>
  </r>
  <r>
    <n v="80"/>
    <x v="2"/>
    <d v="2023-05-29T00:00:00"/>
    <n v="31.2"/>
    <n v="7.7"/>
    <n v="23.1"/>
    <n v="6.2099999999999991"/>
    <n v="120"/>
  </r>
  <r>
    <n v="81"/>
    <x v="3"/>
    <d v="2023-05-30T00:00:00"/>
    <n v="19.28"/>
    <n v="26.7"/>
    <n v="22.3"/>
    <n v="12.070000000000002"/>
    <n v="120"/>
  </r>
  <r>
    <n v="82"/>
    <x v="4"/>
    <d v="2023-05-31T00:00:00"/>
    <n v="151.96"/>
    <n v="4.0999999999999996"/>
    <n v="36.9"/>
    <n v="11.270000000000001"/>
    <n v="128"/>
  </r>
  <r>
    <n v="83"/>
    <x v="5"/>
    <d v="2023-06-01T00:00:00"/>
    <n v="18.059999999999999"/>
    <n v="20.3"/>
    <n v="32.5"/>
    <n v="4.68"/>
    <n v="128"/>
  </r>
  <r>
    <n v="84"/>
    <x v="6"/>
    <d v="2023-06-02T00:00:00"/>
    <n v="22.68"/>
    <n v="44.5"/>
    <n v="35.6"/>
    <n v="14.849999999999998"/>
    <n v="149"/>
  </r>
  <r>
    <n v="85"/>
    <x v="0"/>
    <d v="2023-06-03T00:00:00"/>
    <n v="45.7"/>
    <n v="43"/>
    <n v="33.799999999999997"/>
    <n v="29.330000000000002"/>
    <n v="223"/>
  </r>
  <r>
    <n v="86"/>
    <x v="1"/>
    <d v="2023-06-04T00:00:00"/>
    <n v="42.64"/>
    <n v="18.399999999999999"/>
    <n v="65.7"/>
    <n v="2.2399999999999984"/>
    <n v="159"/>
  </r>
  <r>
    <n v="87"/>
    <x v="2"/>
    <d v="2023-06-05T00:00:00"/>
    <n v="21.259999999999998"/>
    <n v="27.5"/>
    <n v="16"/>
    <n v="14.979999999999999"/>
    <n v="122"/>
  </r>
  <r>
    <n v="88"/>
    <x v="3"/>
    <d v="2023-06-06T00:00:00"/>
    <n v="28.14"/>
    <n v="40.6"/>
    <n v="63.2"/>
    <n v="6.09"/>
    <n v="180"/>
  </r>
  <r>
    <n v="89"/>
    <x v="4"/>
    <d v="2023-06-07T00:00:00"/>
    <n v="27.66"/>
    <n v="225.5"/>
    <n v="73.400000000000006"/>
    <n v="12.219999999999995"/>
    <n v="147"/>
  </r>
  <r>
    <n v="90"/>
    <x v="5"/>
    <d v="2023-06-08T00:00:00"/>
    <n v="23.96"/>
    <n v="47.8"/>
    <n v="51.4"/>
    <n v="14.319999999999993"/>
    <n v="177"/>
  </r>
  <r>
    <n v="91"/>
    <x v="6"/>
    <d v="2023-06-09T00:00:00"/>
    <n v="31.860000000000003"/>
    <n v="4.9000000000000004"/>
    <n v="9.3000000000000007"/>
    <n v="12.160000000000002"/>
    <n v="93"/>
  </r>
  <r>
    <n v="92"/>
    <x v="0"/>
    <d v="2023-06-10T00:00:00"/>
    <n v="14.72"/>
    <n v="1.5"/>
    <n v="33"/>
    <n v="10.41"/>
    <n v="74"/>
  </r>
  <r>
    <n v="93"/>
    <x v="1"/>
    <d v="2023-06-11T00:00:00"/>
    <n v="47.54"/>
    <n v="33.5"/>
    <n v="59"/>
    <n v="14.919999999999995"/>
    <n v="811"/>
  </r>
  <r>
    <n v="94"/>
    <x v="2"/>
    <d v="2023-06-12T00:00:00"/>
    <n v="56.18"/>
    <n v="36.5"/>
    <n v="72.3"/>
    <n v="14.420000000000002"/>
    <n v="225"/>
  </r>
  <r>
    <n v="95"/>
    <x v="3"/>
    <d v="2023-06-13T00:00:00"/>
    <n v="30.48"/>
    <n v="14"/>
    <n v="10.9"/>
    <n v="13.380000000000003"/>
    <n v="117"/>
  </r>
  <r>
    <n v="96"/>
    <x v="4"/>
    <d v="2023-06-14T00:00:00"/>
    <n v="40.660000000000004"/>
    <n v="31.6"/>
    <n v="52.9"/>
    <n v="10.970000000000002"/>
    <n v="175"/>
  </r>
  <r>
    <n v="97"/>
    <x v="5"/>
    <d v="2023-06-15T00:00:00"/>
    <n v="46.519999999999996"/>
    <n v="3.5"/>
    <n v="5.9"/>
    <n v="19.149999999999999"/>
    <n v="132"/>
  </r>
  <r>
    <n v="98"/>
    <x v="6"/>
    <d v="2023-06-16T00:00:00"/>
    <n v="41.980000000000004"/>
    <n v="21"/>
    <n v="22"/>
    <n v="20.190000000000001"/>
    <n v="168"/>
  </r>
  <r>
    <n v="99"/>
    <x v="0"/>
    <d v="2023-06-17T00:00:00"/>
    <n v="64.94"/>
    <n v="42.3"/>
    <n v="51.2"/>
    <n v="29.639999999999993"/>
    <n v="257"/>
  </r>
  <r>
    <n v="100"/>
    <x v="1"/>
    <d v="2023-06-18T00:00:00"/>
    <n v="28.04"/>
    <n v="41.7"/>
    <n v="45.9"/>
    <n v="16.010000000000005"/>
    <n v="183"/>
  </r>
  <r>
    <n v="101"/>
    <x v="2"/>
    <d v="2023-06-19T00:00:00"/>
    <n v="51.480000000000004"/>
    <n v="4.3"/>
    <n v="49.8"/>
    <n v="4.4699999999999989"/>
    <n v="137"/>
  </r>
  <r>
    <n v="102"/>
    <x v="3"/>
    <d v="2023-06-20T00:00:00"/>
    <n v="63.279999999999994"/>
    <n v="36.299999999999997"/>
    <n v="93.625"/>
    <n v="10.339999999999989"/>
    <n v="254"/>
  </r>
  <r>
    <n v="103"/>
    <x v="4"/>
    <d v="2023-06-21T00:00:00"/>
    <n v="64.039999999999992"/>
    <n v="10.1"/>
    <n v="21.4"/>
    <n v="24.509999999999998"/>
    <n v="158"/>
  </r>
  <r>
    <n v="104"/>
    <x v="5"/>
    <d v="2023-06-22T00:00:00"/>
    <n v="38.58"/>
    <n v="17.2"/>
    <n v="17.899999999999999"/>
    <n v="20.23"/>
    <n v="163"/>
  </r>
  <r>
    <n v="105"/>
    <x v="6"/>
    <d v="2023-06-23T00:00:00"/>
    <n v="54.64"/>
    <n v="34.299999999999997"/>
    <n v="5.3"/>
    <n v="38.85"/>
    <n v="208"/>
  </r>
  <r>
    <n v="106"/>
    <x v="0"/>
    <d v="2023-06-24T00:00:00"/>
    <n v="37.58"/>
    <n v="46.4"/>
    <n v="59"/>
    <n v="13.39"/>
    <n v="196"/>
  </r>
  <r>
    <n v="107"/>
    <x v="1"/>
    <d v="2023-06-25T00:00:00"/>
    <n v="8"/>
    <n v="11"/>
    <n v="29.7"/>
    <n v="16.119999999999997"/>
    <n v="86"/>
  </r>
  <r>
    <n v="108"/>
    <x v="2"/>
    <d v="2023-06-26T00:00:00"/>
    <n v="27.080000000000002"/>
    <n v="0.3"/>
    <n v="23.2"/>
    <n v="19.910000000000004"/>
    <n v="104"/>
  </r>
  <r>
    <n v="109"/>
    <x v="3"/>
    <d v="2023-06-27T00:00:00"/>
    <n v="9.620000000000001"/>
    <n v="0.4"/>
    <n v="25.6"/>
    <n v="11.269999999999998"/>
    <n v="54"/>
  </r>
  <r>
    <n v="110"/>
    <x v="4"/>
    <d v="2023-06-28T00:00:00"/>
    <n v="53.08"/>
    <n v="26.9"/>
    <n v="5.5"/>
    <n v="36.789999999999992"/>
    <m/>
  </r>
  <r>
    <n v="111"/>
    <x v="5"/>
    <d v="2023-06-29T00:00:00"/>
    <n v="54.160000000000004"/>
    <n v="8.1999999999999993"/>
    <n v="56.5"/>
    <n v="4.0799999999999983"/>
    <n v="150"/>
  </r>
  <r>
    <n v="112"/>
    <x v="6"/>
    <d v="2023-06-30T00:00:00"/>
    <n v="55.339999999999996"/>
    <n v="38"/>
    <n v="23.2"/>
    <n v="33.89"/>
    <n v="221"/>
  </r>
  <r>
    <n v="113"/>
    <x v="0"/>
    <d v="2023-07-01T00:00:00"/>
    <n v="39.14"/>
    <n v="15.4"/>
    <n v="2.4"/>
    <n v="24.31"/>
    <n v="159"/>
  </r>
  <r>
    <n v="114"/>
    <x v="1"/>
    <d v="2023-07-02T00:00:00"/>
    <n v="44.92"/>
    <n v="20.6"/>
    <n v="10.7"/>
    <n v="26.98"/>
    <n v="167"/>
  </r>
  <r>
    <n v="115"/>
    <x v="2"/>
    <d v="2023-07-03T00:00:00"/>
    <n v="18.64"/>
    <n v="46.8"/>
    <n v="34.5"/>
    <n v="17.419999999999998"/>
    <n v="152"/>
  </r>
  <r>
    <n v="116"/>
    <x v="3"/>
    <d v="2023-07-04T00:00:00"/>
    <n v="24.02"/>
    <n v="35"/>
    <n v="52.7"/>
    <n v="3.9299999999999962"/>
    <n v="133"/>
  </r>
  <r>
    <n v="117"/>
    <x v="4"/>
    <d v="2023-07-05T00:00:00"/>
    <n v="37.839999999999996"/>
    <n v="14.3"/>
    <n v="25.6"/>
    <n v="10.829999999999998"/>
    <n v="129"/>
  </r>
  <r>
    <n v="118"/>
    <x v="5"/>
    <d v="2023-07-06T00:00:00"/>
    <n v="25.28"/>
    <n v="0.8"/>
    <n v="14.8"/>
    <n v="2.12"/>
    <n v="108"/>
  </r>
  <r>
    <n v="119"/>
    <x v="6"/>
    <d v="2023-07-07T00:00:00"/>
    <n v="29.14"/>
    <n v="36.9"/>
    <n v="79.2"/>
    <n v="19.339999999999996"/>
    <n v="172"/>
  </r>
  <r>
    <n v="120"/>
    <x v="0"/>
    <d v="2023-07-08T00:00:00"/>
    <n v="9.879999999999999"/>
    <n v="16"/>
    <n v="22.3"/>
    <n v="1.0199999999999996"/>
    <n v="77"/>
  </r>
  <r>
    <n v="121"/>
    <x v="1"/>
    <d v="2023-07-09T00:00:00"/>
    <n v="36.260000000000005"/>
    <n v="26.8"/>
    <n v="46.2"/>
    <n v="9.0500000000000007"/>
    <n v="163"/>
  </r>
  <r>
    <n v="122"/>
    <x v="2"/>
    <d v="2023-07-10T00:00:00"/>
    <n v="7.76"/>
    <n v="21.7"/>
    <n v="50.4"/>
    <n v="12.57"/>
    <n v="81"/>
  </r>
  <r>
    <n v="123"/>
    <x v="3"/>
    <d v="2023-07-11T00:00:00"/>
    <n v="45.8"/>
    <n v="2.4"/>
    <n v="15.6"/>
    <n v="17.36"/>
    <n v="125"/>
  </r>
  <r>
    <n v="124"/>
    <x v="4"/>
    <d v="2023-07-12T00:00:00"/>
    <n v="33.619999999999997"/>
    <n v="34.6"/>
    <n v="12.4"/>
    <n v="24.65"/>
    <n v="171"/>
  </r>
  <r>
    <n v="125"/>
    <x v="5"/>
    <d v="2023-07-13T00:00:00"/>
    <n v="51.9"/>
    <n v="32.299999999999997"/>
    <n v="74.2"/>
    <n v="9.419999999999991"/>
    <n v="201"/>
  </r>
  <r>
    <n v="126"/>
    <x v="6"/>
    <d v="2023-07-14T00:00:00"/>
    <n v="18.440000000000001"/>
    <n v="11.8"/>
    <n v="25.9"/>
    <n v="4.2600000000000016"/>
    <n v="126"/>
  </r>
  <r>
    <n v="127"/>
    <x v="0"/>
    <d v="2023-07-15T00:00:00"/>
    <n v="8.56"/>
    <n v="38.9"/>
    <n v="50.6"/>
    <n v="19.989999999999998"/>
    <n v="78"/>
  </r>
  <r>
    <n v="128"/>
    <x v="1"/>
    <d v="2023-07-16T00:00:00"/>
    <n v="71.06"/>
    <m/>
    <n v="9.1999999999999993"/>
    <n v="31.35"/>
    <n v="92"/>
  </r>
  <r>
    <n v="129"/>
    <x v="2"/>
    <d v="2023-07-17T00:00:00"/>
    <n v="54.06"/>
    <n v="49"/>
    <n v="3.2"/>
    <n v="45.25"/>
    <n v="264"/>
  </r>
  <r>
    <n v="130"/>
    <x v="3"/>
    <d v="2023-07-18T00:00:00"/>
    <n v="18.920000000000002"/>
    <n v="12"/>
    <n v="43.1"/>
    <n v="14.719999999999999"/>
    <n v="116"/>
  </r>
  <r>
    <n v="131"/>
    <x v="4"/>
    <d v="2023-07-19T00:00:00"/>
    <n v="6"/>
    <n v="39.6"/>
    <n v="8.6999999999999993"/>
    <n v="111"/>
    <n v="28"/>
  </r>
  <r>
    <n v="132"/>
    <x v="5"/>
    <d v="2023-07-20T00:00:00"/>
    <n v="55.04"/>
    <n v="2.9"/>
    <n v="43"/>
    <n v="10.77"/>
    <n v="147"/>
  </r>
  <r>
    <n v="133"/>
    <x v="6"/>
    <d v="2023-07-21T00:00:00"/>
    <n v="5.68"/>
    <n v="27.2"/>
    <n v="2.1"/>
    <n v="13.6"/>
    <n v="71"/>
  </r>
  <r>
    <n v="134"/>
    <x v="0"/>
    <d v="2023-07-22T00:00:00"/>
    <n v="45.96"/>
    <n v="33.5"/>
    <n v="45.1"/>
    <n v="20.69"/>
    <m/>
  </r>
  <r>
    <n v="135"/>
    <x v="1"/>
    <d v="2023-07-23T00:00:00"/>
    <n v="14.379999999999999"/>
    <n v="38.6"/>
    <n v="65.599999999999994"/>
    <n v="16.750000000000004"/>
    <n v="124"/>
  </r>
  <r>
    <n v="136"/>
    <x v="2"/>
    <d v="2023-07-24T00:00:00"/>
    <n v="14.66"/>
    <n v="47"/>
    <n v="8.5"/>
    <n v="24.93"/>
    <n v="124"/>
  </r>
  <r>
    <n v="137"/>
    <x v="3"/>
    <d v="2023-07-25T00:00:00"/>
    <n v="10.120000000000001"/>
    <n v="39"/>
    <n v="9.3000000000000007"/>
    <n v="18.339999999999996"/>
    <n v="98"/>
  </r>
  <r>
    <n v="138"/>
    <x v="4"/>
    <d v="2023-07-26T00:00:00"/>
    <n v="58.739999999999995"/>
    <n v="28.9"/>
    <n v="59.7"/>
    <n v="17.939999999999991"/>
    <n v="210"/>
  </r>
  <r>
    <n v="139"/>
    <x v="5"/>
    <d v="2023-07-27T00:00:00"/>
    <n v="9.6"/>
    <n v="25.9"/>
    <n v="20.5"/>
    <n v="9.0499999999999989"/>
    <n v="109"/>
  </r>
  <r>
    <n v="140"/>
    <x v="6"/>
    <d v="2023-07-28T00:00:00"/>
    <n v="196.98"/>
    <n v="43.9"/>
    <n v="1.7"/>
    <n v="39.76"/>
    <n v="227"/>
  </r>
  <r>
    <n v="141"/>
    <x v="0"/>
    <d v="2023-07-29T00:00:00"/>
    <m/>
    <n v="17"/>
    <n v="12.9"/>
    <n v="10.68"/>
    <n v="113"/>
  </r>
  <r>
    <n v="142"/>
    <x v="1"/>
    <d v="2023-07-30T00:00:00"/>
    <m/>
    <n v="35.4"/>
    <n v="75.599999999999994"/>
    <n v="6.8299999999999947"/>
    <n v="207"/>
  </r>
  <r>
    <n v="143"/>
    <x v="2"/>
    <d v="2023-07-31T00:00:00"/>
    <n v="50.1"/>
    <n v="33.200000000000003"/>
    <n v="37.9"/>
    <n v="23.490000000000006"/>
    <n v="218"/>
  </r>
  <r>
    <n v="144"/>
    <x v="3"/>
    <d v="2023-08-01T00:00:00"/>
    <n v="28.919999999999998"/>
    <n v="5.7"/>
    <n v="34.4"/>
    <n v="19.549999999999997"/>
    <m/>
  </r>
  <r>
    <n v="145"/>
    <x v="4"/>
    <d v="2023-08-02T00:00:00"/>
    <n v="29.240000000000002"/>
    <n v="14.8"/>
    <n v="38.9"/>
    <n v="1.4600000000000026"/>
    <n v="127"/>
  </r>
  <r>
    <n v="146"/>
    <x v="5"/>
    <d v="2023-08-03T00:00:00"/>
    <n v="31.060000000000002"/>
    <n v="1.9"/>
    <n v="9"/>
    <n v="11.38"/>
    <n v="123"/>
  </r>
  <r>
    <n v="147"/>
    <x v="6"/>
    <d v="2023-08-04T00:00:00"/>
    <n v="55.019999999999996"/>
    <n v="7.3"/>
    <n v="8.6999999999999993"/>
    <n v="24.179999999999996"/>
    <n v="142"/>
  </r>
  <r>
    <n v="148"/>
    <x v="0"/>
    <d v="2023-08-05T00:00:00"/>
    <n v="50.64"/>
    <n v="49"/>
    <n v="44.3"/>
    <n v="31.1"/>
    <n v="265"/>
  </r>
  <r>
    <n v="149"/>
    <x v="1"/>
    <d v="2023-08-06T00:00:00"/>
    <n v="15.6"/>
    <n v="40.299999999999997"/>
    <n v="11.9"/>
    <n v="19.189999999999998"/>
    <n v="110"/>
  </r>
  <r>
    <n v="150"/>
    <x v="2"/>
    <d v="2023-08-07T00:00:00"/>
    <n v="164"/>
    <n v="25.8"/>
    <n v="20.6"/>
    <n v="9.1300000000000008"/>
    <n v="118"/>
  </r>
  <r>
    <n v="151"/>
    <x v="3"/>
    <d v="2023-08-08T00:00:00"/>
    <n v="66.14"/>
    <n v="13.9"/>
    <n v="37"/>
    <n v="20.220000000000002"/>
    <n v="166"/>
  </r>
  <r>
    <n v="152"/>
    <x v="4"/>
    <d v="2023-08-09T00:00:00"/>
    <n v="31.2"/>
    <n v="8.4"/>
    <n v="48.7"/>
    <n v="16.819999999999997"/>
    <n v="125"/>
  </r>
  <r>
    <n v="153"/>
    <x v="5"/>
    <d v="2023-08-10T00:00:00"/>
    <n v="40.519999999999996"/>
    <n v="23.3"/>
    <n v="14.2"/>
    <n v="25.729999999999997"/>
    <n v="169"/>
  </r>
  <r>
    <n v="154"/>
    <x v="6"/>
    <d v="2023-08-11T00:00:00"/>
    <n v="37.260000000000005"/>
    <n v="39.700000000000003"/>
    <n v="37.700000000000003"/>
    <n v="21.900000000000002"/>
    <n v="208"/>
  </r>
  <r>
    <n v="155"/>
    <x v="0"/>
    <d v="2023-08-12T00:00:00"/>
    <n v="43.56"/>
    <n v="21.1"/>
    <n v="9.5"/>
    <n v="25.53"/>
    <n v="166"/>
  </r>
  <r>
    <n v="156"/>
    <x v="1"/>
    <d v="2023-08-13T00:00:00"/>
    <n v="9.82"/>
    <n v="11.6"/>
    <n v="5.7"/>
    <n v="92"/>
    <n v="35"/>
  </r>
  <r>
    <n v="157"/>
    <x v="2"/>
    <d v="2023-08-14T00:00:00"/>
    <n v="25.78"/>
    <n v="43.5"/>
    <n v="50.5"/>
    <n v="10.939999999999998"/>
    <n v="173"/>
  </r>
  <r>
    <n v="158"/>
    <x v="3"/>
    <d v="2023-08-15T00:00:00"/>
    <n v="39.96"/>
    <n v="1.3"/>
    <n v="24.3"/>
    <n v="5.91"/>
    <n v="111"/>
  </r>
  <r>
    <n v="159"/>
    <x v="4"/>
    <d v="2023-08-16T00:00:00"/>
    <n v="12.34"/>
    <n v="36.9"/>
    <n v="45.2"/>
    <n v="1.5399999999999956"/>
    <n v="85"/>
  </r>
  <r>
    <n v="160"/>
    <x v="5"/>
    <d v="2023-08-17T00:00:00"/>
    <n v="32.339999999999996"/>
    <n v="18.399999999999999"/>
    <n v="34.6"/>
    <n v="8.5299999999999958"/>
    <n v="138"/>
  </r>
  <r>
    <n v="161"/>
    <x v="6"/>
    <d v="2023-08-18T00:00:00"/>
    <n v="44.5"/>
    <n v="18.100000000000001"/>
    <n v="30.7"/>
    <n v="14.02"/>
    <n v="159"/>
  </r>
  <r>
    <n v="162"/>
    <x v="0"/>
    <d v="2023-08-19T00:00:00"/>
    <n v="19.14"/>
    <n v="35.799999999999997"/>
    <n v="49.3"/>
    <n v="6.75"/>
    <n v="151"/>
  </r>
  <r>
    <n v="163"/>
    <x v="1"/>
    <d v="2023-08-20T00:00:00"/>
    <n v="42.68"/>
    <m/>
    <m/>
    <n v="17.649999999999999"/>
    <n v="168"/>
  </r>
  <r>
    <n v="164"/>
    <x v="2"/>
    <d v="2023-08-21T00:00:00"/>
    <n v="33.700000000000003"/>
    <n v="36.799999999999997"/>
    <n v="7.4"/>
    <n v="31.79"/>
    <n v="193"/>
  </r>
  <r>
    <n v="165"/>
    <x v="3"/>
    <d v="2023-08-22T00:00:00"/>
    <n v="28.44"/>
    <n v="14.7"/>
    <n v="5.4"/>
    <n v="16.91"/>
    <n v="132"/>
  </r>
  <r>
    <n v="166"/>
    <x v="4"/>
    <d v="2023-08-23T00:00:00"/>
    <n v="56.9"/>
    <n v="3.4"/>
    <n v="84.8"/>
    <n v="11.229999999999997"/>
    <n v="131"/>
  </r>
  <r>
    <n v="167"/>
    <x v="5"/>
    <d v="2023-08-24T00:00:00"/>
    <n v="11.58"/>
    <n v="37.6"/>
    <n v="21.6"/>
    <n v="11.95"/>
    <n v="90"/>
  </r>
  <r>
    <n v="168"/>
    <x v="6"/>
    <d v="2023-08-25T00:00:00"/>
    <n v="48.36"/>
    <n v="5.2"/>
    <n v="19.399999999999999"/>
    <n v="15.520000000000001"/>
    <n v="129"/>
  </r>
  <r>
    <n v="169"/>
    <x v="0"/>
    <d v="2023-08-26T00:00:00"/>
    <n v="45.08"/>
    <n v="23.6"/>
    <n v="57.6"/>
    <n v="10.3"/>
    <n v="185"/>
  </r>
  <r>
    <n v="170"/>
    <x v="1"/>
    <d v="2023-08-27T00:00:00"/>
    <n v="60.86"/>
    <n v="10.6"/>
    <n v="6.4"/>
    <n v="31.169999999999995"/>
    <n v="162"/>
  </r>
  <r>
    <n v="171"/>
    <x v="2"/>
    <d v="2023-08-28T00:00:00"/>
    <n v="12"/>
    <n v="11.6"/>
    <n v="18.399999999999999"/>
    <n v="3.4400000000000013"/>
    <n v="90"/>
  </r>
  <r>
    <n v="172"/>
    <x v="3"/>
    <d v="2023-08-29T00:00:00"/>
    <n v="42.9"/>
    <n v="20.9"/>
    <n v="47.4"/>
    <n v="7.9399999999999977"/>
    <n v="163"/>
  </r>
  <r>
    <n v="173"/>
    <x v="4"/>
    <d v="2023-08-30T00:00:00"/>
    <n v="9.92"/>
    <n v="20.100000000000001"/>
    <n v="17"/>
    <n v="5.2100000000000009"/>
    <n v="93"/>
  </r>
  <r>
    <n v="174"/>
    <x v="5"/>
    <d v="2023-08-31T00:00:00"/>
    <n v="36.68"/>
    <n v="7.1"/>
    <n v="12.8"/>
    <n v="15.27"/>
    <n v="129"/>
  </r>
  <r>
    <n v="175"/>
    <x v="6"/>
    <d v="2023-09-01T00:00:00"/>
    <n v="53.480000000000004"/>
    <n v="3.4"/>
    <n v="13.1"/>
    <n v="18.700000000000003"/>
    <n v="127"/>
  </r>
  <r>
    <n v="176"/>
    <x v="0"/>
    <d v="2023-09-02T00:00:00"/>
    <n v="64.38"/>
    <n v="48.9"/>
    <n v="41.8"/>
    <n v="35.42"/>
    <n v="271"/>
  </r>
  <r>
    <n v="177"/>
    <x v="1"/>
    <d v="2023-09-03T00:00:00"/>
    <n v="58.68"/>
    <n v="30.2"/>
    <n v="20.3"/>
    <n v="31.819999999999997"/>
    <n v="216"/>
  </r>
  <r>
    <n v="178"/>
    <x v="2"/>
    <d v="2023-09-04T00:00:00"/>
    <n v="40.04"/>
    <n v="7.8"/>
    <n v="35.200000000000003"/>
    <n v="95"/>
    <n v="131"/>
  </r>
  <r>
    <n v="179"/>
    <x v="3"/>
    <d v="2023-09-05T00:00:00"/>
    <n v="63.339999999999996"/>
    <n v="2.2999999999999998"/>
    <n v="23.7"/>
    <n v="19.339999999999996"/>
    <n v="131"/>
  </r>
  <r>
    <n v="180"/>
    <x v="4"/>
    <d v="2023-09-06T00:00:00"/>
    <n v="41.12"/>
    <n v="10"/>
    <n v="17.600000000000001"/>
    <n v="14.519999999999998"/>
    <n v="135"/>
  </r>
  <r>
    <n v="181"/>
    <x v="5"/>
    <d v="2023-09-07T00:00:00"/>
    <n v="36.32"/>
    <n v="2.6"/>
    <n v="8.3000000000000007"/>
    <n v="13.64"/>
    <n v="108"/>
  </r>
  <r>
    <n v="182"/>
    <x v="6"/>
    <d v="2023-09-08T00:00:00"/>
    <n v="52.7"/>
    <n v="5.4"/>
    <n v="27.4"/>
    <n v="13.59"/>
    <n v="124"/>
  </r>
  <r>
    <n v="183"/>
    <x v="0"/>
    <d v="2023-09-09T00:00:00"/>
    <n v="18.240000000000002"/>
    <n v="5.7"/>
    <n v="29.7"/>
    <n v="16.59"/>
    <n v="105"/>
  </r>
  <r>
    <n v="184"/>
    <x v="1"/>
    <d v="2023-09-10T00:00:00"/>
    <n v="65.52000000000001"/>
    <n v="43"/>
    <n v="71.8"/>
    <n v="21.540000000000006"/>
    <n v="272"/>
  </r>
  <r>
    <n v="185"/>
    <x v="2"/>
    <d v="2023-09-11T00:00:00"/>
    <n v="58.760000000000005"/>
    <n v="21.3"/>
    <n v="30"/>
    <n v="24.03"/>
    <n v="188"/>
  </r>
  <r>
    <n v="186"/>
    <x v="3"/>
    <d v="2023-09-12T00:00:00"/>
    <n v="46"/>
    <n v="45.1"/>
    <n v="19.600000000000001"/>
    <n v="35.209999999999994"/>
    <n v="228"/>
  </r>
  <r>
    <n v="187"/>
    <x v="4"/>
    <d v="2023-09-13T00:00:00"/>
    <n v="35.9"/>
    <n v="2.1"/>
    <n v="26.6"/>
    <n v="4.3599999999999994"/>
    <n v="108"/>
  </r>
  <r>
    <n v="188"/>
    <x v="5"/>
    <d v="2023-09-14T00:00:00"/>
    <n v="41.22"/>
    <n v="28.7"/>
    <n v="18.2"/>
    <n v="26.18"/>
    <n v="186"/>
  </r>
  <r>
    <n v="189"/>
    <x v="6"/>
    <d v="2023-09-15T00:00:00"/>
    <n v="59.2"/>
    <n v="13.9"/>
    <n v="3.7"/>
    <n v="34.070000000000007"/>
    <n v="167"/>
  </r>
  <r>
    <n v="190"/>
    <x v="0"/>
    <d v="2023-09-16T00:00:00"/>
    <n v="6.74"/>
    <n v="12.1"/>
    <n v="23.4"/>
    <n v="18.560000000000002"/>
    <n v="83"/>
  </r>
  <r>
    <n v="191"/>
    <x v="1"/>
    <d v="2023-09-17T00:00:00"/>
    <n v="15.9"/>
    <n v="41.1"/>
    <n v="5.8"/>
    <n v="22.18"/>
    <n v="114"/>
  </r>
  <r>
    <n v="192"/>
    <x v="2"/>
    <d v="2023-09-18T00:00:00"/>
    <n v="21.1"/>
    <n v="10.8"/>
    <n v="6"/>
    <n v="10.549999999999999"/>
    <n v="116"/>
  </r>
  <r>
    <n v="193"/>
    <x v="3"/>
    <d v="2023-09-19T00:00:00"/>
    <n v="12.44"/>
    <n v="4.0999999999999996"/>
    <n v="31.6"/>
    <n v="11.129999999999999"/>
    <n v="62"/>
  </r>
  <r>
    <n v="194"/>
    <x v="4"/>
    <d v="2023-09-20T00:00:00"/>
    <n v="41.36"/>
    <n v="42"/>
    <n v="3.6"/>
    <n v="36.24"/>
    <n v="204"/>
  </r>
  <r>
    <n v="195"/>
    <x v="5"/>
    <d v="2023-09-21T00:00:00"/>
    <n v="32.94"/>
    <n v="35.6"/>
    <n v="6"/>
    <m/>
    <n v="184"/>
  </r>
  <r>
    <n v="196"/>
    <x v="6"/>
    <d v="2023-09-22T00:00:00"/>
    <n v="14.64"/>
    <n v="3.7"/>
    <n v="13.8"/>
    <n v="0.14999999999999947"/>
    <n v="91"/>
  </r>
  <r>
    <n v="197"/>
    <x v="0"/>
    <d v="2023-09-23T00:00:00"/>
    <n v="27.84"/>
    <n v="4.9000000000000004"/>
    <n v="8.1"/>
    <n v="8.6300000000000008"/>
    <n v="116"/>
  </r>
  <r>
    <n v="198"/>
    <x v="1"/>
    <d v="2023-09-24T00:00:00"/>
    <n v="44.4"/>
    <n v="9.3000000000000007"/>
    <n v="6.4"/>
    <n v="19.79"/>
    <n v="139"/>
  </r>
  <r>
    <n v="199"/>
    <x v="2"/>
    <d v="2023-09-25T00:00:00"/>
    <n v="57.720000000000006"/>
    <n v="42"/>
    <n v="66.2"/>
    <n v="22.879999999999995"/>
    <n v="235.5"/>
  </r>
  <r>
    <n v="200"/>
    <x v="3"/>
    <d v="2023-09-26T00:00:00"/>
    <n v="52.42"/>
    <n v="8.6"/>
    <n v="8.6999999999999993"/>
    <n v="1"/>
    <n v="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738465-710D-0A4F-8CB5-41FF4E4DCB4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eekday">
  <location ref="O1:P9" firstHeaderRow="1" firstDataRow="1" firstDataCol="1"/>
  <pivotFields count="8">
    <pivotField showAll="0"/>
    <pivotField axis="axisRow" showAll="0">
      <items count="8">
        <item x="2"/>
        <item x="3"/>
        <item x="4"/>
        <item x="5"/>
        <item x="6"/>
        <item x="0"/>
        <item x="1"/>
        <item t="default"/>
      </items>
    </pivotField>
    <pivotField numFmtId="14" showAll="0"/>
    <pivotField showAll="0"/>
    <pivotField showAll="0"/>
    <pivotField showAll="0"/>
    <pivotField showAll="0"/>
    <pivotField dataField="1"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SALES" fld="7" subtotal="average" baseField="0" baseItem="0" numFmtId="2"/>
  </dataFields>
  <formats count="2">
    <format dxfId="0">
      <pivotArea outline="0" collapsedLevelsAreSubtotals="1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7-29T13:57:17.31" personId="{28223B6B-9F49-45F0-89D5-1D9700C9CE4F}" id="{5211D131-FB9E-4693-A1CF-EF4269878910}">
    <text>=WEEKDAY(C16,2)</text>
  </threadedComment>
  <threadedComment ref="I1" dT="2025-07-29T13:55:44.89" personId="{28223B6B-9F49-45F0-89D5-1D9700C9CE4F}" id="{E7DDABCD-B859-4D67-8C5D-FEA960E2B6B8}">
    <text>Google_Sales_Corr</text>
  </threadedComment>
  <threadedComment ref="J1" dT="2025-07-29T13:48:08.23" personId="{28223B6B-9F49-45F0-89D5-1D9700C9CE4F}" id="{EE063D38-ED9C-412E-A1CC-C69586306DFF}">
    <text>=IF(ISBLANK(E16),U$19,E16)</text>
  </threadedComment>
  <threadedComment ref="K1" dT="2025-07-29T13:47:41.55" personId="{28223B6B-9F49-45F0-89D5-1D9700C9CE4F}" id="{4804A919-E3BE-43FC-B153-438BC62EA784}">
    <text>=IF(ISBLANK(F16),U$20,F16)</text>
  </threadedComment>
  <threadedComment ref="L1" dT="2025-07-29T13:47:27.18" personId="{28223B6B-9F49-45F0-89D5-1D9700C9CE4F}" id="{B3B9C23B-CD1A-4BBF-9DB5-3A94A8D9963C}">
    <text>=IF(ISBLANK(G16),U$21,G16)</text>
  </threadedComment>
  <threadedComment ref="M1" dT="2025-07-29T13:47:10.04" personId="{28223B6B-9F49-45F0-89D5-1D9700C9CE4F}" id="{BD7258A3-376D-4B18-ACC0-A3FDEAF06861}">
    <text>=IF(ISBLANK(H16),VLOOKUP(B16,$N$1:$O$9,2,TRUE),H16)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07-29T14:24:00.26" personId="{28223B6B-9F49-45F0-89D5-1D9700C9CE4F}" id="{4EA5FB4B-E00D-4B19-92C2-4DC553944AC2}">
    <text>=IF(ISBLANK(B5),AVERAGE(B2:B8),B5)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9" dT="2025-07-29T16:45:11.34" personId="{28223B6B-9F49-45F0-89D5-1D9700C9CE4F}" id="{14E57C5A-F61F-4957-AC6B-7B51C65D41CE}">
    <text>Farkındalık</text>
  </threadedComment>
  <threadedComment ref="A11" dT="2025-07-29T16:44:53.91" personId="{28223B6B-9F49-45F0-89D5-1D9700C9CE4F}" id="{F5BA56C0-137B-4C08-8AFF-80EE56157095}">
    <text>Üye Olma</text>
  </threadedComment>
  <threadedComment ref="B25" dT="2025-07-29T17:15:59.85" personId="{28223B6B-9F49-45F0-89D5-1D9700C9CE4F}" id="{FCAB3F85-6BD0-4EB1-8F0F-85F40CC18CF7}">
    <text>Formula
Churn Rate= 1- Retention</text>
  </threadedComment>
  <threadedComment ref="B26" dT="2025-07-29T17:13:58.08" personId="{28223B6B-9F49-45F0-89D5-1D9700C9CE4F}" id="{7DD582DD-0AA5-474C-8D78-ACF8983A121D}">
    <text xml:space="preserve">Formula:
LT = 1 ÷ Churn </text>
  </threadedComment>
  <threadedComment ref="B27" dT="2025-07-29T17:15:06.00" personId="{28223B6B-9F49-45F0-89D5-1D9700C9CE4F}" id="{BDED082B-B914-42AC-977D-58A490F22167}">
    <text>Formula:
LT *12</text>
  </threadedComment>
  <threadedComment ref="B29" dT="2025-07-29T17:12:04.13" personId="{28223B6B-9F49-45F0-89D5-1D9700C9CE4F}" id="{D6BC0DDB-65FA-4267-A19F-896A5D7743FF}">
    <text xml:space="preserve">Formula:
LTV = Monthly Value × LT (months)  </text>
  </threadedComment>
  <threadedComment ref="B34" dT="2025-07-29T17:17:53.98" personId="{28223B6B-9F49-45F0-89D5-1D9700C9CE4F}" id="{B4A0C634-A794-403E-BF66-00F755274F3A}">
    <text>Formula
=IF(B37&gt;3,"✅ Feasible","Unfeasible")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8EDDE-C977-4C68-9678-F0FC12148D0F}">
  <dimension ref="A1:G1000"/>
  <sheetViews>
    <sheetView showGridLines="0" zoomScale="90" zoomScaleNormal="154" workbookViewId="0">
      <selection activeCell="I10" sqref="I10"/>
    </sheetView>
  </sheetViews>
  <sheetFormatPr defaultColWidth="11.1875" defaultRowHeight="15" customHeight="1" x14ac:dyDescent="0.5"/>
  <cols>
    <col min="1" max="6" width="10.5" style="14" customWidth="1"/>
    <col min="7" max="7" width="10.1875" style="14" customWidth="1"/>
    <col min="8" max="26" width="10.5" style="14" customWidth="1"/>
    <col min="27" max="16384" width="11.1875" style="14"/>
  </cols>
  <sheetData>
    <row r="1" spans="1:7" ht="15.75" customHeight="1" x14ac:dyDescent="0.5">
      <c r="A1" s="58" t="s">
        <v>0</v>
      </c>
      <c r="B1" s="58" t="s">
        <v>1</v>
      </c>
      <c r="C1" s="59" t="s">
        <v>2</v>
      </c>
      <c r="D1" s="59" t="s">
        <v>3</v>
      </c>
      <c r="E1" s="59" t="s">
        <v>4</v>
      </c>
      <c r="F1" s="59" t="s">
        <v>8</v>
      </c>
      <c r="G1" s="60" t="s">
        <v>5</v>
      </c>
    </row>
    <row r="2" spans="1:7" ht="15.75" customHeight="1" x14ac:dyDescent="0.5">
      <c r="A2" s="15">
        <v>1</v>
      </c>
      <c r="B2" s="16">
        <f t="shared" ref="B2:B200" si="0">+B3-1</f>
        <v>44996</v>
      </c>
      <c r="C2" s="17">
        <v>56.02</v>
      </c>
      <c r="D2" s="17">
        <v>37.799999999999997</v>
      </c>
      <c r="E2" s="17">
        <v>69.2</v>
      </c>
      <c r="F2" s="18">
        <v>14.229999999999993</v>
      </c>
      <c r="G2" s="17">
        <v>236</v>
      </c>
    </row>
    <row r="3" spans="1:7" ht="15.75" customHeight="1" x14ac:dyDescent="0.5">
      <c r="A3" s="15">
        <v>2</v>
      </c>
      <c r="B3" s="16">
        <f t="shared" si="0"/>
        <v>44997</v>
      </c>
      <c r="C3" s="17">
        <v>10.9</v>
      </c>
      <c r="D3" s="17">
        <v>39.299999999999997</v>
      </c>
      <c r="E3" s="17">
        <v>45.1</v>
      </c>
      <c r="F3" s="18">
        <v>6.0599999999999952</v>
      </c>
      <c r="G3" s="17">
        <v>122</v>
      </c>
    </row>
    <row r="4" spans="1:7" ht="15.75" customHeight="1" x14ac:dyDescent="0.5">
      <c r="A4" s="15">
        <v>3</v>
      </c>
      <c r="B4" s="16">
        <f t="shared" si="0"/>
        <v>44998</v>
      </c>
      <c r="C4" s="17">
        <v>12.44</v>
      </c>
      <c r="D4" s="17">
        <v>45.9</v>
      </c>
      <c r="E4" s="17">
        <v>69.3</v>
      </c>
      <c r="F4" s="18">
        <v>16.95</v>
      </c>
      <c r="G4" s="17">
        <v>96</v>
      </c>
    </row>
    <row r="5" spans="1:7" ht="15.75" customHeight="1" x14ac:dyDescent="0.5">
      <c r="A5" s="15">
        <v>4</v>
      </c>
      <c r="B5" s="16">
        <f t="shared" si="0"/>
        <v>44999</v>
      </c>
      <c r="C5" s="17">
        <v>31.3</v>
      </c>
      <c r="D5" s="17">
        <v>41.3</v>
      </c>
      <c r="E5" s="17">
        <v>58.5</v>
      </c>
      <c r="F5" s="18">
        <v>12.399999999999995</v>
      </c>
      <c r="G5" s="17">
        <v>197</v>
      </c>
    </row>
    <row r="6" spans="1:7" ht="15.75" customHeight="1" x14ac:dyDescent="0.5">
      <c r="A6" s="15">
        <v>5</v>
      </c>
      <c r="B6" s="16">
        <f t="shared" si="0"/>
        <v>45000</v>
      </c>
      <c r="C6" s="17">
        <v>46.160000000000004</v>
      </c>
      <c r="D6" s="17">
        <v>10.8</v>
      </c>
      <c r="E6" s="17">
        <v>58.4</v>
      </c>
      <c r="F6" s="18">
        <v>0.12000000000000455</v>
      </c>
      <c r="G6" s="17">
        <v>137</v>
      </c>
    </row>
    <row r="7" spans="1:7" ht="15.75" customHeight="1" x14ac:dyDescent="0.5">
      <c r="A7" s="15">
        <v>6</v>
      </c>
      <c r="B7" s="16">
        <f t="shared" si="0"/>
        <v>45001</v>
      </c>
      <c r="C7" s="17">
        <v>6.74</v>
      </c>
      <c r="D7" s="17">
        <v>48.9</v>
      </c>
      <c r="E7" s="17">
        <v>75</v>
      </c>
      <c r="F7" s="18">
        <v>15.32</v>
      </c>
      <c r="G7" s="17">
        <v>86</v>
      </c>
    </row>
    <row r="8" spans="1:7" ht="15.75" customHeight="1" x14ac:dyDescent="0.5">
      <c r="A8" s="15">
        <v>7</v>
      </c>
      <c r="B8" s="16">
        <f t="shared" si="0"/>
        <v>45002</v>
      </c>
      <c r="C8" s="17">
        <v>13.5</v>
      </c>
      <c r="D8" s="17">
        <v>32.799999999999997</v>
      </c>
      <c r="E8" s="17">
        <v>23.5</v>
      </c>
      <c r="F8" s="18">
        <v>12.749999999999998</v>
      </c>
      <c r="G8" s="17">
        <v>123</v>
      </c>
    </row>
    <row r="9" spans="1:7" ht="15.75" customHeight="1" x14ac:dyDescent="0.5">
      <c r="A9" s="15">
        <v>8</v>
      </c>
      <c r="B9" s="16">
        <f t="shared" si="0"/>
        <v>45003</v>
      </c>
      <c r="C9" s="17">
        <v>31.04</v>
      </c>
      <c r="D9" s="17">
        <v>19.600000000000001</v>
      </c>
      <c r="E9" s="17">
        <v>11.6</v>
      </c>
      <c r="F9" s="18">
        <v>17.18</v>
      </c>
      <c r="G9" s="17">
        <v>152</v>
      </c>
    </row>
    <row r="10" spans="1:7" ht="15.75" customHeight="1" x14ac:dyDescent="0.5">
      <c r="A10" s="15">
        <v>9</v>
      </c>
      <c r="B10" s="16">
        <f t="shared" si="0"/>
        <v>45004</v>
      </c>
      <c r="C10" s="17">
        <v>9.7200000000000006</v>
      </c>
      <c r="D10" s="17">
        <v>2.1</v>
      </c>
      <c r="E10" s="17">
        <v>1</v>
      </c>
      <c r="F10" s="18">
        <v>1.5100000000000002</v>
      </c>
      <c r="G10" s="17">
        <v>54</v>
      </c>
    </row>
    <row r="11" spans="1:7" ht="15.75" customHeight="1" x14ac:dyDescent="0.5">
      <c r="A11" s="15">
        <v>10</v>
      </c>
      <c r="B11" s="16">
        <f t="shared" si="0"/>
        <v>45005</v>
      </c>
      <c r="C11" s="17">
        <v>40.96</v>
      </c>
      <c r="D11" s="17">
        <v>2.6</v>
      </c>
      <c r="E11" s="17">
        <v>21.2</v>
      </c>
      <c r="F11" s="18">
        <v>12.8</v>
      </c>
      <c r="G11" s="17">
        <v>119</v>
      </c>
    </row>
    <row r="12" spans="1:7" ht="15.75" customHeight="1" x14ac:dyDescent="0.5">
      <c r="A12" s="15">
        <v>11</v>
      </c>
      <c r="B12" s="16">
        <f t="shared" si="0"/>
        <v>45006</v>
      </c>
      <c r="C12" s="17">
        <v>23.22</v>
      </c>
      <c r="D12" s="17">
        <v>5.8</v>
      </c>
      <c r="E12" s="17">
        <v>24.2</v>
      </c>
      <c r="F12" s="18">
        <v>19.829999999999998</v>
      </c>
      <c r="G12" s="17">
        <v>95</v>
      </c>
    </row>
    <row r="13" spans="1:7" ht="15.75" customHeight="1" x14ac:dyDescent="0.5">
      <c r="A13" s="15">
        <v>12</v>
      </c>
      <c r="B13" s="16">
        <f t="shared" si="0"/>
        <v>45007</v>
      </c>
      <c r="C13" s="17">
        <v>50.94</v>
      </c>
      <c r="D13" s="17">
        <v>24</v>
      </c>
      <c r="E13" s="17">
        <v>4</v>
      </c>
      <c r="F13" s="18">
        <v>31.869999999999997</v>
      </c>
      <c r="G13" s="17">
        <v>151.5</v>
      </c>
    </row>
    <row r="14" spans="1:7" ht="15.75" customHeight="1" x14ac:dyDescent="0.5">
      <c r="A14" s="15">
        <v>13</v>
      </c>
      <c r="B14" s="16">
        <f t="shared" si="0"/>
        <v>45008</v>
      </c>
      <c r="C14" s="17">
        <v>10.76</v>
      </c>
      <c r="D14" s="17">
        <v>35.1</v>
      </c>
      <c r="E14" s="17">
        <v>65.900000000000006</v>
      </c>
      <c r="F14" s="18"/>
      <c r="G14" s="17">
        <v>95</v>
      </c>
    </row>
    <row r="15" spans="1:7" ht="15.75" customHeight="1" x14ac:dyDescent="0.5">
      <c r="A15" s="15">
        <v>14</v>
      </c>
      <c r="B15" s="16">
        <f t="shared" si="0"/>
        <v>45009</v>
      </c>
      <c r="C15" s="17">
        <v>26.5</v>
      </c>
      <c r="D15" s="17">
        <v>7.6</v>
      </c>
      <c r="E15" s="17">
        <v>7.2</v>
      </c>
      <c r="F15" s="18"/>
      <c r="G15" s="17">
        <v>113</v>
      </c>
    </row>
    <row r="16" spans="1:7" ht="15.75" customHeight="1" x14ac:dyDescent="0.5">
      <c r="A16" s="15">
        <v>15</v>
      </c>
      <c r="B16" s="16">
        <f t="shared" si="0"/>
        <v>45010</v>
      </c>
      <c r="C16" s="17">
        <v>44.82</v>
      </c>
      <c r="D16" s="17">
        <v>32.9</v>
      </c>
      <c r="E16" s="17">
        <v>46</v>
      </c>
      <c r="F16" s="18">
        <v>18.459999999999997</v>
      </c>
      <c r="G16" s="17">
        <v>191</v>
      </c>
    </row>
    <row r="17" spans="1:7" ht="15.75" customHeight="1" x14ac:dyDescent="0.5">
      <c r="A17" s="15">
        <v>16</v>
      </c>
      <c r="B17" s="16">
        <f t="shared" si="0"/>
        <v>45011</v>
      </c>
      <c r="C17" s="17">
        <v>42.08</v>
      </c>
      <c r="D17" s="17">
        <v>47.7</v>
      </c>
      <c r="E17" s="17">
        <v>52.9</v>
      </c>
      <c r="F17" s="18">
        <v>22.23</v>
      </c>
      <c r="G17" s="17">
        <v>240</v>
      </c>
    </row>
    <row r="18" spans="1:7" ht="15.75" customHeight="1" x14ac:dyDescent="0.5">
      <c r="A18" s="15">
        <v>17</v>
      </c>
      <c r="B18" s="16">
        <f t="shared" si="0"/>
        <v>45012</v>
      </c>
      <c r="C18" s="17">
        <v>89.06</v>
      </c>
      <c r="D18" s="17">
        <v>36.6</v>
      </c>
      <c r="E18" s="17">
        <v>93.625</v>
      </c>
      <c r="F18" s="18">
        <v>23.379999999999995</v>
      </c>
      <c r="G18" s="17">
        <v>135</v>
      </c>
    </row>
    <row r="19" spans="1:7" ht="15.75" customHeight="1" x14ac:dyDescent="0.5">
      <c r="A19" s="15">
        <v>18</v>
      </c>
      <c r="B19" s="16">
        <f t="shared" si="0"/>
        <v>45013</v>
      </c>
      <c r="C19" s="17">
        <v>62.279999999999994</v>
      </c>
      <c r="D19" s="17">
        <v>39.6</v>
      </c>
      <c r="E19" s="17">
        <v>55.8</v>
      </c>
      <c r="F19" s="18">
        <v>25.619999999999997</v>
      </c>
      <c r="G19" s="17">
        <v>258</v>
      </c>
    </row>
    <row r="20" spans="1:7" ht="15.75" customHeight="1" x14ac:dyDescent="0.5">
      <c r="A20" s="15">
        <v>19</v>
      </c>
      <c r="B20" s="16">
        <f t="shared" si="0"/>
        <v>45014</v>
      </c>
      <c r="C20" s="17">
        <v>14.84</v>
      </c>
      <c r="D20" s="17">
        <v>20.5</v>
      </c>
      <c r="E20" s="17">
        <v>18.3</v>
      </c>
      <c r="F20" s="18">
        <v>9.8500000000000014</v>
      </c>
      <c r="G20" s="17">
        <v>127</v>
      </c>
    </row>
    <row r="21" spans="1:7" ht="15.75" customHeight="1" x14ac:dyDescent="0.5">
      <c r="A21" s="15">
        <v>20</v>
      </c>
      <c r="B21" s="16">
        <f t="shared" si="0"/>
        <v>45015</v>
      </c>
      <c r="C21" s="17">
        <v>32.46</v>
      </c>
      <c r="D21" s="17">
        <v>23.9</v>
      </c>
      <c r="E21" s="17">
        <v>19.100000000000001</v>
      </c>
      <c r="F21" s="18">
        <v>19.04</v>
      </c>
      <c r="G21" s="17">
        <v>148</v>
      </c>
    </row>
    <row r="22" spans="1:7" ht="15.75" customHeight="1" x14ac:dyDescent="0.5">
      <c r="A22" s="15">
        <v>21</v>
      </c>
      <c r="B22" s="16">
        <f t="shared" si="0"/>
        <v>45016</v>
      </c>
      <c r="C22" s="17">
        <v>46.68</v>
      </c>
      <c r="D22" s="17">
        <v>27.7</v>
      </c>
      <c r="E22" s="17">
        <v>53.4</v>
      </c>
      <c r="F22" s="18">
        <v>14.329999999999998</v>
      </c>
      <c r="G22" s="17">
        <v>188</v>
      </c>
    </row>
    <row r="23" spans="1:7" ht="15.75" customHeight="1" x14ac:dyDescent="0.5">
      <c r="A23" s="15">
        <v>22</v>
      </c>
      <c r="B23" s="16">
        <f t="shared" si="0"/>
        <v>45017</v>
      </c>
      <c r="C23" s="17">
        <v>48.480000000000004</v>
      </c>
      <c r="D23" s="17">
        <v>123</v>
      </c>
      <c r="E23" s="17">
        <v>23.5</v>
      </c>
      <c r="F23" s="18">
        <v>16.89</v>
      </c>
      <c r="G23" s="17">
        <v>127</v>
      </c>
    </row>
    <row r="24" spans="1:7" ht="15.75" customHeight="1" x14ac:dyDescent="0.5">
      <c r="A24" s="15">
        <v>23</v>
      </c>
      <c r="B24" s="16">
        <f t="shared" si="0"/>
        <v>45018</v>
      </c>
      <c r="C24" s="17">
        <v>11.64</v>
      </c>
      <c r="D24" s="17">
        <v>15.9</v>
      </c>
      <c r="E24" s="17">
        <v>49.6</v>
      </c>
      <c r="F24" s="18">
        <v>9.4299999999999962</v>
      </c>
      <c r="G24" s="17"/>
    </row>
    <row r="25" spans="1:7" ht="15.75" customHeight="1" x14ac:dyDescent="0.5">
      <c r="A25" s="15">
        <v>24</v>
      </c>
      <c r="B25" s="16">
        <f t="shared" si="0"/>
        <v>45019</v>
      </c>
      <c r="C25" s="17">
        <v>49.660000000000004</v>
      </c>
      <c r="D25" s="17">
        <v>16.899999999999999</v>
      </c>
      <c r="E25" s="17">
        <v>26.2</v>
      </c>
      <c r="F25" s="18">
        <v>20.8</v>
      </c>
      <c r="G25" s="17">
        <v>175</v>
      </c>
    </row>
    <row r="26" spans="1:7" ht="15.75" customHeight="1" x14ac:dyDescent="0.5">
      <c r="A26" s="15">
        <v>25</v>
      </c>
      <c r="B26" s="16">
        <f t="shared" si="0"/>
        <v>45020</v>
      </c>
      <c r="C26" s="17">
        <v>20.46</v>
      </c>
      <c r="D26" s="17">
        <v>12.6</v>
      </c>
      <c r="E26" s="17">
        <v>18.3</v>
      </c>
      <c r="F26" s="18">
        <v>5.2099999999999991</v>
      </c>
      <c r="G26" s="17">
        <v>110</v>
      </c>
    </row>
    <row r="27" spans="1:7" ht="15.75" customHeight="1" x14ac:dyDescent="0.5">
      <c r="A27" s="15">
        <v>26</v>
      </c>
      <c r="B27" s="16">
        <f t="shared" si="0"/>
        <v>45021</v>
      </c>
      <c r="C27" s="17">
        <v>59.58</v>
      </c>
      <c r="D27" s="17">
        <v>3.5</v>
      </c>
      <c r="E27" s="17">
        <v>19.5</v>
      </c>
      <c r="F27" s="18">
        <v>20.239999999999998</v>
      </c>
      <c r="G27" s="17">
        <v>139</v>
      </c>
    </row>
    <row r="28" spans="1:7" ht="15.75" customHeight="1" x14ac:dyDescent="0.5">
      <c r="A28" s="15">
        <v>27</v>
      </c>
      <c r="B28" s="16">
        <f t="shared" si="0"/>
        <v>45022</v>
      </c>
      <c r="C28" s="17">
        <v>38.58</v>
      </c>
      <c r="D28" s="17">
        <v>29.3</v>
      </c>
      <c r="E28" s="17">
        <v>12.6</v>
      </c>
      <c r="F28" s="18">
        <v>23.900000000000002</v>
      </c>
      <c r="G28" s="17">
        <v>167</v>
      </c>
    </row>
    <row r="29" spans="1:7" ht="15.75" customHeight="1" x14ac:dyDescent="0.5">
      <c r="A29" s="15">
        <v>28</v>
      </c>
      <c r="B29" s="16">
        <f t="shared" si="0"/>
        <v>45023</v>
      </c>
      <c r="C29" s="17">
        <v>49.019999999999996</v>
      </c>
      <c r="D29" s="17">
        <v>16.7</v>
      </c>
      <c r="E29" s="17">
        <v>22.9</v>
      </c>
      <c r="F29" s="18">
        <v>23.2</v>
      </c>
      <c r="G29" s="17">
        <v>168</v>
      </c>
    </row>
    <row r="30" spans="1:7" ht="15.75" customHeight="1" x14ac:dyDescent="0.5">
      <c r="A30" s="15">
        <v>29</v>
      </c>
      <c r="B30" s="16">
        <f t="shared" si="0"/>
        <v>45024</v>
      </c>
      <c r="C30" s="17">
        <v>52.760000000000005</v>
      </c>
      <c r="D30" s="17">
        <v>27.1</v>
      </c>
      <c r="E30" s="17">
        <v>22.9</v>
      </c>
      <c r="F30" s="18">
        <v>29.270000000000007</v>
      </c>
      <c r="G30" s="17">
        <v>199</v>
      </c>
    </row>
    <row r="31" spans="1:7" ht="15.75" customHeight="1" x14ac:dyDescent="0.5">
      <c r="A31" s="15">
        <v>30</v>
      </c>
      <c r="B31" s="16">
        <f t="shared" si="0"/>
        <v>45025</v>
      </c>
      <c r="C31" s="17">
        <v>15.12</v>
      </c>
      <c r="D31" s="17">
        <v>16</v>
      </c>
      <c r="E31" s="17">
        <v>40.799999999999997</v>
      </c>
      <c r="F31" s="18">
        <v>18.739999999999998</v>
      </c>
      <c r="G31" s="17">
        <v>123</v>
      </c>
    </row>
    <row r="32" spans="1:7" ht="15.75" customHeight="1" x14ac:dyDescent="0.5">
      <c r="A32" s="15">
        <v>31</v>
      </c>
      <c r="B32" s="16">
        <f t="shared" si="0"/>
        <v>45026</v>
      </c>
      <c r="C32" s="17">
        <v>59.58</v>
      </c>
      <c r="D32" s="17">
        <v>28.3</v>
      </c>
      <c r="E32" s="17">
        <v>43.2</v>
      </c>
      <c r="F32" s="18">
        <v>26.159999999999997</v>
      </c>
      <c r="G32" s="17">
        <v>231</v>
      </c>
    </row>
    <row r="33" spans="1:7" ht="15.75" customHeight="1" x14ac:dyDescent="0.5">
      <c r="A33" s="15">
        <v>32</v>
      </c>
      <c r="B33" s="16">
        <f t="shared" si="0"/>
        <v>45027</v>
      </c>
      <c r="C33" s="17">
        <v>92.987500000000011</v>
      </c>
      <c r="D33" s="17">
        <v>17.399999999999999</v>
      </c>
      <c r="E33" s="17">
        <v>38.6</v>
      </c>
      <c r="F33" s="18">
        <v>37.253750000000011</v>
      </c>
      <c r="G33" s="17">
        <v>126</v>
      </c>
    </row>
    <row r="34" spans="1:7" ht="15.75" customHeight="1" x14ac:dyDescent="0.5">
      <c r="A34" s="15">
        <v>33</v>
      </c>
      <c r="B34" s="16">
        <f t="shared" si="0"/>
        <v>45028</v>
      </c>
      <c r="C34" s="17">
        <v>20.440000000000001</v>
      </c>
      <c r="D34" s="17">
        <v>1.5</v>
      </c>
      <c r="E34" s="17">
        <v>30</v>
      </c>
      <c r="F34" s="18">
        <v>18.47</v>
      </c>
      <c r="G34" s="17">
        <v>112</v>
      </c>
    </row>
    <row r="35" spans="1:7" ht="15.75" customHeight="1" x14ac:dyDescent="0.5">
      <c r="A35" s="15">
        <v>34</v>
      </c>
      <c r="B35" s="16">
        <f t="shared" si="0"/>
        <v>45029</v>
      </c>
      <c r="C35" s="17">
        <v>61.120000000000005</v>
      </c>
      <c r="D35" s="17">
        <v>20</v>
      </c>
      <c r="E35" s="17">
        <v>0.3</v>
      </c>
      <c r="F35" s="18">
        <v>36.440000000000005</v>
      </c>
      <c r="G35" s="17">
        <v>184</v>
      </c>
    </row>
    <row r="36" spans="1:7" ht="15.75" customHeight="1" x14ac:dyDescent="0.5">
      <c r="A36" s="15">
        <v>35</v>
      </c>
      <c r="B36" s="16">
        <f t="shared" si="0"/>
        <v>45030</v>
      </c>
      <c r="C36" s="17">
        <v>24.14</v>
      </c>
      <c r="D36" s="17">
        <v>1.4</v>
      </c>
      <c r="E36" s="17">
        <v>7.4</v>
      </c>
      <c r="F36" s="18">
        <v>7.3099999999999987</v>
      </c>
      <c r="G36" s="17">
        <v>91.5</v>
      </c>
    </row>
    <row r="37" spans="1:7" ht="15.75" customHeight="1" x14ac:dyDescent="0.5">
      <c r="A37" s="15">
        <v>36</v>
      </c>
      <c r="B37" s="16">
        <f t="shared" si="0"/>
        <v>45031</v>
      </c>
      <c r="C37" s="17">
        <v>62.14</v>
      </c>
      <c r="D37" s="17">
        <v>4.0999999999999996</v>
      </c>
      <c r="E37" s="17">
        <v>8.5</v>
      </c>
      <c r="F37" s="18">
        <v>27.72</v>
      </c>
      <c r="G37" s="17">
        <v>129</v>
      </c>
    </row>
    <row r="38" spans="1:7" ht="15.75" customHeight="1" x14ac:dyDescent="0.5">
      <c r="A38" s="15">
        <v>37</v>
      </c>
      <c r="B38" s="16">
        <f t="shared" si="0"/>
        <v>45032</v>
      </c>
      <c r="C38" s="17">
        <v>56.379999999999995</v>
      </c>
      <c r="D38" s="17">
        <v>43.8</v>
      </c>
      <c r="E38" s="17">
        <v>5</v>
      </c>
      <c r="F38" s="18">
        <v>46.589999999999996</v>
      </c>
      <c r="G38" s="17">
        <v>256</v>
      </c>
    </row>
    <row r="39" spans="1:7" ht="15.75" customHeight="1" x14ac:dyDescent="0.5">
      <c r="A39" s="15">
        <v>38</v>
      </c>
      <c r="B39" s="16">
        <f t="shared" si="0"/>
        <v>45033</v>
      </c>
      <c r="C39" s="17">
        <v>24.94</v>
      </c>
      <c r="D39" s="17">
        <v>49.4</v>
      </c>
      <c r="E39" s="17">
        <v>45.7</v>
      </c>
      <c r="F39" s="18">
        <v>13.89</v>
      </c>
      <c r="G39" s="17">
        <v>152</v>
      </c>
    </row>
    <row r="40" spans="1:7" ht="15.75" customHeight="1" x14ac:dyDescent="0.5">
      <c r="A40" s="15">
        <v>39</v>
      </c>
      <c r="B40" s="16">
        <f t="shared" si="0"/>
        <v>45034</v>
      </c>
      <c r="C40" s="17">
        <v>14.620000000000001</v>
      </c>
      <c r="D40" s="17">
        <v>26.7</v>
      </c>
      <c r="E40" s="17">
        <v>35.1</v>
      </c>
      <c r="F40" s="18">
        <v>3.6199999999999992</v>
      </c>
      <c r="G40" s="17">
        <v>114</v>
      </c>
    </row>
    <row r="41" spans="1:7" ht="15.75" customHeight="1" x14ac:dyDescent="0.5">
      <c r="A41" s="15">
        <v>40</v>
      </c>
      <c r="B41" s="16">
        <f t="shared" si="0"/>
        <v>45035</v>
      </c>
      <c r="C41" s="17">
        <v>53.6</v>
      </c>
      <c r="D41" s="17">
        <v>37.700000000000003</v>
      </c>
      <c r="E41" s="17">
        <v>32</v>
      </c>
      <c r="F41" s="18">
        <v>28.850000000000005</v>
      </c>
      <c r="G41" s="17">
        <v>230</v>
      </c>
    </row>
    <row r="42" spans="1:7" ht="15.75" customHeight="1" x14ac:dyDescent="0.5">
      <c r="A42" s="15">
        <v>41</v>
      </c>
      <c r="B42" s="16">
        <f t="shared" si="0"/>
        <v>45036</v>
      </c>
      <c r="C42" s="17">
        <v>45.5</v>
      </c>
      <c r="D42" s="17">
        <v>22.3</v>
      </c>
      <c r="E42" s="17">
        <v>31.6</v>
      </c>
      <c r="F42" s="18">
        <v>18.759999999999998</v>
      </c>
      <c r="G42" s="17">
        <v>179</v>
      </c>
    </row>
    <row r="43" spans="1:7" ht="15.75" customHeight="1" x14ac:dyDescent="0.5">
      <c r="A43" s="15">
        <v>42</v>
      </c>
      <c r="B43" s="16">
        <f t="shared" si="0"/>
        <v>45037</v>
      </c>
      <c r="C43" s="17">
        <v>40.4</v>
      </c>
      <c r="D43" s="17">
        <v>33.4</v>
      </c>
      <c r="E43" s="17">
        <v>38.700000000000003</v>
      </c>
      <c r="F43" s="18">
        <v>18.919999999999995</v>
      </c>
      <c r="G43" s="17">
        <v>186</v>
      </c>
    </row>
    <row r="44" spans="1:7" ht="15.75" customHeight="1" x14ac:dyDescent="0.5">
      <c r="A44" s="15">
        <v>43</v>
      </c>
      <c r="B44" s="16">
        <f t="shared" si="0"/>
        <v>45038</v>
      </c>
      <c r="C44" s="17">
        <v>67.72</v>
      </c>
      <c r="D44" s="17">
        <v>27.7</v>
      </c>
      <c r="E44" s="17">
        <v>1.8</v>
      </c>
      <c r="F44" s="18">
        <v>42.49</v>
      </c>
      <c r="G44" s="17">
        <v>226</v>
      </c>
    </row>
    <row r="45" spans="1:7" ht="15.75" customHeight="1" x14ac:dyDescent="0.5">
      <c r="A45" s="15">
        <v>44</v>
      </c>
      <c r="B45" s="16">
        <f t="shared" si="0"/>
        <v>45039</v>
      </c>
      <c r="C45" s="17">
        <v>51.38</v>
      </c>
      <c r="D45" s="17">
        <v>8.4</v>
      </c>
      <c r="E45" s="17">
        <v>26.4</v>
      </c>
      <c r="F45" s="18">
        <v>14.33</v>
      </c>
      <c r="G45" s="17">
        <v>149</v>
      </c>
    </row>
    <row r="46" spans="1:7" ht="15.75" customHeight="1" x14ac:dyDescent="0.5">
      <c r="A46" s="15">
        <v>45</v>
      </c>
      <c r="B46" s="16">
        <f t="shared" si="0"/>
        <v>45040</v>
      </c>
      <c r="C46" s="17">
        <v>12.02</v>
      </c>
      <c r="D46" s="17">
        <v>25.7</v>
      </c>
      <c r="E46" s="17">
        <v>43.3</v>
      </c>
      <c r="F46" s="18">
        <v>18.04</v>
      </c>
      <c r="G46" s="17">
        <v>89</v>
      </c>
    </row>
    <row r="47" spans="1:7" ht="15.75" customHeight="1" x14ac:dyDescent="0.5">
      <c r="A47" s="15">
        <v>46</v>
      </c>
      <c r="B47" s="16">
        <f t="shared" si="0"/>
        <v>45041</v>
      </c>
      <c r="C47" s="17">
        <v>42.019999999999996</v>
      </c>
      <c r="D47" s="17">
        <v>22.5</v>
      </c>
      <c r="E47" s="17">
        <v>31.5</v>
      </c>
      <c r="F47" s="18">
        <v>16.159999999999997</v>
      </c>
      <c r="G47" s="17">
        <v>165</v>
      </c>
    </row>
    <row r="48" spans="1:7" ht="15.75" customHeight="1" x14ac:dyDescent="0.5">
      <c r="A48" s="15">
        <v>47</v>
      </c>
      <c r="B48" s="16">
        <f t="shared" si="0"/>
        <v>45042</v>
      </c>
      <c r="C48" s="17">
        <v>18.940000000000001</v>
      </c>
      <c r="D48" s="17">
        <v>9.9</v>
      </c>
      <c r="E48" s="17">
        <v>35.700000000000003</v>
      </c>
      <c r="F48" s="18">
        <v>19.64</v>
      </c>
      <c r="G48" s="17">
        <v>119</v>
      </c>
    </row>
    <row r="49" spans="1:7" ht="15.75" customHeight="1" x14ac:dyDescent="0.5">
      <c r="A49" s="15">
        <v>48</v>
      </c>
      <c r="B49" s="16">
        <f t="shared" si="0"/>
        <v>45043</v>
      </c>
      <c r="C49" s="17">
        <v>52.980000000000004</v>
      </c>
      <c r="D49" s="17">
        <v>41.5</v>
      </c>
      <c r="E49" s="17">
        <v>18.5</v>
      </c>
      <c r="F49" s="18">
        <v>37.340000000000003</v>
      </c>
      <c r="G49" s="17">
        <v>245</v>
      </c>
    </row>
    <row r="50" spans="1:7" ht="15.75" customHeight="1" x14ac:dyDescent="0.5">
      <c r="A50" s="15">
        <v>49</v>
      </c>
      <c r="B50" s="16">
        <f t="shared" si="0"/>
        <v>45044</v>
      </c>
      <c r="C50" s="17">
        <v>46.44</v>
      </c>
      <c r="D50" s="17">
        <v>15.8</v>
      </c>
      <c r="E50" s="17">
        <v>49.9</v>
      </c>
      <c r="F50" s="18">
        <v>10.659999999999997</v>
      </c>
      <c r="G50" s="17">
        <v>149</v>
      </c>
    </row>
    <row r="51" spans="1:7" ht="15.75" customHeight="1" x14ac:dyDescent="0.5">
      <c r="A51" s="15">
        <v>50</v>
      </c>
      <c r="B51" s="16">
        <f t="shared" si="0"/>
        <v>45045</v>
      </c>
      <c r="C51" s="17">
        <v>14.38</v>
      </c>
      <c r="D51" s="17">
        <v>11.7</v>
      </c>
      <c r="E51" s="17">
        <v>36.799999999999997</v>
      </c>
      <c r="F51" s="18">
        <v>17.82</v>
      </c>
      <c r="G51" s="17">
        <v>111</v>
      </c>
    </row>
    <row r="52" spans="1:7" ht="15.75" customHeight="1" x14ac:dyDescent="0.5">
      <c r="A52" s="15">
        <v>51</v>
      </c>
      <c r="B52" s="16">
        <f t="shared" si="0"/>
        <v>45046</v>
      </c>
      <c r="C52" s="17">
        <v>43.96</v>
      </c>
      <c r="D52" s="17">
        <v>3.1</v>
      </c>
      <c r="E52" s="17">
        <v>34.6</v>
      </c>
      <c r="F52" s="18">
        <v>7.6899999999999995</v>
      </c>
      <c r="G52" s="17">
        <v>122</v>
      </c>
    </row>
    <row r="53" spans="1:7" ht="15.75" customHeight="1" x14ac:dyDescent="0.5">
      <c r="A53" s="15">
        <v>52</v>
      </c>
      <c r="B53" s="16">
        <f t="shared" si="0"/>
        <v>45047</v>
      </c>
      <c r="C53" s="17">
        <v>29.080000000000002</v>
      </c>
      <c r="D53" s="17">
        <v>9.6</v>
      </c>
      <c r="E53" s="17">
        <v>3.6</v>
      </c>
      <c r="F53" s="18">
        <v>13.4</v>
      </c>
      <c r="G53" s="17">
        <v>112</v>
      </c>
    </row>
    <row r="54" spans="1:7" ht="15.75" customHeight="1" x14ac:dyDescent="0.5">
      <c r="A54" s="15">
        <v>53</v>
      </c>
      <c r="B54" s="16">
        <f t="shared" si="0"/>
        <v>45048</v>
      </c>
      <c r="C54" s="17">
        <v>44.28</v>
      </c>
      <c r="D54" s="17">
        <v>41.7</v>
      </c>
      <c r="E54" s="17">
        <v>39.6</v>
      </c>
      <c r="F54" s="18">
        <v>26.65</v>
      </c>
      <c r="G54" s="17">
        <v>235</v>
      </c>
    </row>
    <row r="55" spans="1:7" ht="15.75" customHeight="1" x14ac:dyDescent="0.5">
      <c r="A55" s="15">
        <v>54</v>
      </c>
      <c r="B55" s="16">
        <f t="shared" si="0"/>
        <v>45049</v>
      </c>
      <c r="C55" s="17">
        <v>41.519999999999996</v>
      </c>
      <c r="D55" s="17">
        <v>46.2</v>
      </c>
      <c r="E55" s="17">
        <v>58.7</v>
      </c>
      <c r="F55" s="18">
        <v>17.879999999999995</v>
      </c>
      <c r="G55" s="17">
        <v>225</v>
      </c>
    </row>
    <row r="56" spans="1:7" ht="15.75" customHeight="1" x14ac:dyDescent="0.5">
      <c r="A56" s="15">
        <v>55</v>
      </c>
      <c r="B56" s="16">
        <f t="shared" si="0"/>
        <v>45050</v>
      </c>
      <c r="C56" s="17">
        <v>62.54</v>
      </c>
      <c r="D56" s="17">
        <v>28.8</v>
      </c>
      <c r="E56" s="17">
        <v>15.9</v>
      </c>
      <c r="F56" s="18">
        <v>34.31</v>
      </c>
      <c r="G56" s="17">
        <v>220</v>
      </c>
    </row>
    <row r="57" spans="1:7" ht="15.75" customHeight="1" x14ac:dyDescent="0.5">
      <c r="A57" s="15">
        <v>56</v>
      </c>
      <c r="B57" s="16">
        <f t="shared" si="0"/>
        <v>45051</v>
      </c>
      <c r="C57" s="17">
        <v>40.78</v>
      </c>
      <c r="D57" s="17">
        <v>49.4</v>
      </c>
      <c r="E57" s="17">
        <v>60</v>
      </c>
      <c r="F57" s="18">
        <v>20.590000000000003</v>
      </c>
      <c r="G57" s="17">
        <v>240</v>
      </c>
    </row>
    <row r="58" spans="1:7" ht="15.75" customHeight="1" x14ac:dyDescent="0.5">
      <c r="A58" s="15">
        <v>57</v>
      </c>
      <c r="B58" s="16">
        <f t="shared" si="0"/>
        <v>45052</v>
      </c>
      <c r="C58" s="17">
        <v>3.46</v>
      </c>
      <c r="D58" s="17">
        <v>28.1</v>
      </c>
      <c r="E58" s="17">
        <v>41.4</v>
      </c>
      <c r="F58" s="18">
        <v>18.220000000000002</v>
      </c>
      <c r="G58" s="17">
        <v>71</v>
      </c>
    </row>
    <row r="59" spans="1:7" ht="15.75" customHeight="1" x14ac:dyDescent="0.5">
      <c r="A59" s="15">
        <v>58</v>
      </c>
      <c r="B59" s="16">
        <f t="shared" si="0"/>
        <v>45053</v>
      </c>
      <c r="C59" s="17">
        <v>33.239999999999995</v>
      </c>
      <c r="D59" s="17">
        <v>19.2</v>
      </c>
      <c r="E59" s="17">
        <v>16.600000000000001</v>
      </c>
      <c r="F59" s="18">
        <v>16.579999999999998</v>
      </c>
      <c r="G59" s="17">
        <v>133</v>
      </c>
    </row>
    <row r="60" spans="1:7" ht="15.75" customHeight="1" x14ac:dyDescent="0.5">
      <c r="A60" s="15">
        <v>59</v>
      </c>
      <c r="B60" s="16">
        <f t="shared" si="0"/>
        <v>45054</v>
      </c>
      <c r="C60" s="17">
        <v>49.160000000000004</v>
      </c>
      <c r="D60" s="17">
        <v>49.6</v>
      </c>
      <c r="E60" s="17">
        <v>37.700000000000003</v>
      </c>
      <c r="F60" s="18">
        <v>30.8</v>
      </c>
      <c r="G60" s="17">
        <v>239</v>
      </c>
    </row>
    <row r="61" spans="1:7" ht="15.75" customHeight="1" x14ac:dyDescent="0.5">
      <c r="A61" s="15">
        <v>60</v>
      </c>
      <c r="B61" s="16">
        <f t="shared" si="0"/>
        <v>45055</v>
      </c>
      <c r="C61" s="17">
        <v>50.14</v>
      </c>
      <c r="D61" s="17">
        <v>29.5</v>
      </c>
      <c r="E61" s="17">
        <v>9.3000000000000007</v>
      </c>
      <c r="F61" s="18">
        <v>32.1</v>
      </c>
      <c r="G61" s="17">
        <v>186</v>
      </c>
    </row>
    <row r="62" spans="1:7" ht="15.75" customHeight="1" x14ac:dyDescent="0.5">
      <c r="A62" s="15">
        <v>61</v>
      </c>
      <c r="B62" s="16">
        <f t="shared" si="0"/>
        <v>45056</v>
      </c>
      <c r="C62" s="17">
        <v>16.7</v>
      </c>
      <c r="D62" s="17">
        <v>2</v>
      </c>
      <c r="E62" s="17">
        <v>21.4</v>
      </c>
      <c r="F62" s="18">
        <v>17.79</v>
      </c>
      <c r="G62" s="17">
        <v>83</v>
      </c>
    </row>
    <row r="63" spans="1:7" ht="15.75" customHeight="1" x14ac:dyDescent="0.5">
      <c r="A63" s="15">
        <v>62</v>
      </c>
      <c r="B63" s="16">
        <f t="shared" si="0"/>
        <v>45057</v>
      </c>
      <c r="C63" s="17">
        <v>61.260000000000005</v>
      </c>
      <c r="D63" s="17">
        <v>42.7</v>
      </c>
      <c r="E63" s="17">
        <v>54.7</v>
      </c>
      <c r="F63" s="18">
        <v>25.6</v>
      </c>
      <c r="G63" s="17">
        <v>240</v>
      </c>
    </row>
    <row r="64" spans="1:7" ht="15.75" customHeight="1" x14ac:dyDescent="0.5">
      <c r="A64" s="15">
        <v>63</v>
      </c>
      <c r="B64" s="16">
        <f t="shared" si="0"/>
        <v>45058</v>
      </c>
      <c r="C64" s="17">
        <v>53.86</v>
      </c>
      <c r="D64" s="17">
        <v>15.5</v>
      </c>
      <c r="E64" s="17">
        <v>27.3</v>
      </c>
      <c r="F64" s="18">
        <v>20.759999999999998</v>
      </c>
      <c r="G64" s="17">
        <v>170</v>
      </c>
    </row>
    <row r="65" spans="1:7" ht="15.75" customHeight="1" x14ac:dyDescent="0.5">
      <c r="A65" s="15">
        <v>64</v>
      </c>
      <c r="B65" s="16">
        <f t="shared" si="0"/>
        <v>45059</v>
      </c>
      <c r="C65" s="17">
        <v>27.54</v>
      </c>
      <c r="D65" s="17">
        <v>29.6</v>
      </c>
      <c r="E65" s="17">
        <v>8.4</v>
      </c>
      <c r="F65" s="18">
        <v>21.71</v>
      </c>
      <c r="G65" s="17">
        <v>298.75</v>
      </c>
    </row>
    <row r="66" spans="1:7" ht="15.75" customHeight="1" x14ac:dyDescent="0.5">
      <c r="A66" s="15">
        <v>65</v>
      </c>
      <c r="B66" s="16">
        <f t="shared" si="0"/>
        <v>45060</v>
      </c>
      <c r="C66" s="17">
        <v>27.22</v>
      </c>
      <c r="D66" s="17">
        <v>42.8</v>
      </c>
      <c r="E66" s="17">
        <v>28.9</v>
      </c>
      <c r="F66" s="18">
        <v>22.949999999999996</v>
      </c>
      <c r="G66" s="17">
        <v>187</v>
      </c>
    </row>
    <row r="67" spans="1:7" ht="15.75" customHeight="1" x14ac:dyDescent="0.5">
      <c r="A67" s="15">
        <v>66</v>
      </c>
      <c r="B67" s="16">
        <f t="shared" si="0"/>
        <v>45061</v>
      </c>
      <c r="C67" s="17">
        <v>21.8</v>
      </c>
      <c r="D67" s="17">
        <v>9.3000000000000007</v>
      </c>
      <c r="E67" s="17">
        <v>0.9</v>
      </c>
      <c r="F67" s="18">
        <v>11.190000000000001</v>
      </c>
      <c r="G67" s="17">
        <v>109</v>
      </c>
    </row>
    <row r="68" spans="1:7" ht="15.75" customHeight="1" x14ac:dyDescent="0.5">
      <c r="A68" s="15">
        <v>67</v>
      </c>
      <c r="B68" s="16">
        <f t="shared" si="0"/>
        <v>45062</v>
      </c>
      <c r="C68" s="17">
        <v>15.3</v>
      </c>
      <c r="D68" s="17">
        <v>24.6</v>
      </c>
      <c r="E68" s="17">
        <v>2.2000000000000002</v>
      </c>
      <c r="F68" s="18">
        <v>14.57</v>
      </c>
      <c r="G68" s="17">
        <v>104</v>
      </c>
    </row>
    <row r="69" spans="1:7" ht="15.75" customHeight="1" x14ac:dyDescent="0.5">
      <c r="A69" s="15">
        <v>68</v>
      </c>
      <c r="B69" s="16">
        <f t="shared" si="0"/>
        <v>45063</v>
      </c>
      <c r="C69" s="17">
        <v>30.860000000000003</v>
      </c>
      <c r="D69" s="17">
        <v>14.5</v>
      </c>
      <c r="E69" s="17">
        <v>10.199999999999999</v>
      </c>
      <c r="F69" s="18">
        <v>17.100000000000001</v>
      </c>
      <c r="G69" s="17">
        <v>135</v>
      </c>
    </row>
    <row r="70" spans="1:7" ht="15.75" customHeight="1" x14ac:dyDescent="0.5">
      <c r="A70" s="15">
        <v>69</v>
      </c>
      <c r="B70" s="16">
        <f t="shared" si="0"/>
        <v>45064</v>
      </c>
      <c r="C70" s="17">
        <v>51.480000000000004</v>
      </c>
      <c r="D70" s="17">
        <v>27.5</v>
      </c>
      <c r="E70" s="17">
        <v>11</v>
      </c>
      <c r="F70" s="18">
        <v>33.090000000000003</v>
      </c>
      <c r="G70" s="17">
        <v>196</v>
      </c>
    </row>
    <row r="71" spans="1:7" ht="15.75" customHeight="1" x14ac:dyDescent="0.5">
      <c r="A71" s="15">
        <v>70</v>
      </c>
      <c r="B71" s="16">
        <f t="shared" si="0"/>
        <v>45065</v>
      </c>
      <c r="C71" s="17">
        <v>48.36</v>
      </c>
      <c r="D71" s="17">
        <v>43.9</v>
      </c>
      <c r="E71" s="17">
        <v>27.2</v>
      </c>
      <c r="F71" s="18">
        <v>32.749999999999993</v>
      </c>
      <c r="G71" s="17">
        <v>229</v>
      </c>
    </row>
    <row r="72" spans="1:7" ht="15.75" customHeight="1" x14ac:dyDescent="0.5">
      <c r="A72" s="15">
        <v>71</v>
      </c>
      <c r="B72" s="16">
        <f t="shared" si="0"/>
        <v>45066</v>
      </c>
      <c r="C72" s="17">
        <v>44.82</v>
      </c>
      <c r="D72" s="17">
        <v>30.6</v>
      </c>
      <c r="E72" s="17">
        <v>38.700000000000003</v>
      </c>
      <c r="F72" s="18">
        <v>19.729999999999997</v>
      </c>
      <c r="G72" s="17">
        <v>196</v>
      </c>
    </row>
    <row r="73" spans="1:7" ht="15.75" customHeight="1" x14ac:dyDescent="0.5">
      <c r="A73" s="15">
        <v>72</v>
      </c>
      <c r="B73" s="16">
        <f t="shared" si="0"/>
        <v>45067</v>
      </c>
      <c r="C73" s="17">
        <v>29.96</v>
      </c>
      <c r="D73" s="17">
        <v>14.3</v>
      </c>
      <c r="E73" s="17">
        <v>31.7</v>
      </c>
      <c r="F73" s="18">
        <v>5.4500000000000028</v>
      </c>
      <c r="G73" s="17">
        <v>129</v>
      </c>
    </row>
    <row r="74" spans="1:7" ht="15.75" customHeight="1" x14ac:dyDescent="0.5">
      <c r="A74" s="15">
        <v>73</v>
      </c>
      <c r="B74" s="16">
        <f t="shared" si="0"/>
        <v>45068</v>
      </c>
      <c r="C74" s="17">
        <v>15.36</v>
      </c>
      <c r="D74" s="17">
        <v>33</v>
      </c>
      <c r="E74" s="17">
        <v>19.3</v>
      </c>
      <c r="F74" s="18">
        <v>11.459999999999999</v>
      </c>
      <c r="G74" s="17">
        <v>106</v>
      </c>
    </row>
    <row r="75" spans="1:7" ht="15.75" customHeight="1" x14ac:dyDescent="0.5">
      <c r="A75" s="15">
        <v>74</v>
      </c>
      <c r="B75" s="16">
        <f t="shared" si="0"/>
        <v>45069</v>
      </c>
      <c r="C75" s="17">
        <v>28.880000000000003</v>
      </c>
      <c r="D75" s="17">
        <v>5.7</v>
      </c>
      <c r="E75" s="17">
        <v>31.3</v>
      </c>
      <c r="F75" s="18">
        <v>3.2699999999999996</v>
      </c>
      <c r="G75" s="17">
        <v>117</v>
      </c>
    </row>
    <row r="76" spans="1:7" ht="15.75" customHeight="1" x14ac:dyDescent="0.5">
      <c r="A76" s="15">
        <v>75</v>
      </c>
      <c r="B76" s="16">
        <f t="shared" si="0"/>
        <v>45070</v>
      </c>
      <c r="C76" s="17">
        <v>50.68</v>
      </c>
      <c r="D76" s="17">
        <v>0</v>
      </c>
      <c r="E76" s="17">
        <v>13.1</v>
      </c>
      <c r="F76" s="18">
        <v>28.4</v>
      </c>
      <c r="G76" s="17">
        <v>187</v>
      </c>
    </row>
    <row r="77" spans="1:7" ht="15.75" customHeight="1" x14ac:dyDescent="0.5">
      <c r="A77" s="15">
        <v>76</v>
      </c>
      <c r="B77" s="16">
        <f t="shared" si="0"/>
        <v>45071</v>
      </c>
      <c r="C77" s="17">
        <v>12.379999999999999</v>
      </c>
      <c r="D77" s="17">
        <v>43.7</v>
      </c>
      <c r="E77" s="17">
        <v>89.4</v>
      </c>
      <c r="F77" s="18">
        <v>7.7799999999999976</v>
      </c>
      <c r="G77" s="17">
        <v>105</v>
      </c>
    </row>
    <row r="78" spans="1:7" ht="15.75" customHeight="1" x14ac:dyDescent="0.5">
      <c r="A78" s="15">
        <v>77</v>
      </c>
      <c r="B78" s="16">
        <f t="shared" si="0"/>
        <v>45072</v>
      </c>
      <c r="C78" s="17">
        <v>13.5</v>
      </c>
      <c r="D78" s="17">
        <v>1.6</v>
      </c>
      <c r="E78" s="17">
        <v>20.7</v>
      </c>
      <c r="F78" s="18">
        <v>15.27</v>
      </c>
      <c r="G78" s="17">
        <v>83</v>
      </c>
    </row>
    <row r="79" spans="1:7" ht="15.75" customHeight="1" x14ac:dyDescent="0.5">
      <c r="A79" s="15">
        <v>78</v>
      </c>
      <c r="B79" s="16">
        <f t="shared" si="0"/>
        <v>45073</v>
      </c>
      <c r="C79" s="17">
        <v>25.1</v>
      </c>
      <c r="D79" s="17">
        <v>28.5</v>
      </c>
      <c r="E79" s="17">
        <v>14.2</v>
      </c>
      <c r="F79" s="18">
        <v>20.62</v>
      </c>
      <c r="G79" s="17">
        <v>149</v>
      </c>
    </row>
    <row r="80" spans="1:7" ht="15.75" customHeight="1" x14ac:dyDescent="0.5">
      <c r="A80" s="15">
        <v>79</v>
      </c>
      <c r="B80" s="16">
        <f t="shared" si="0"/>
        <v>45074</v>
      </c>
      <c r="C80" s="17">
        <v>8.08</v>
      </c>
      <c r="D80" s="17">
        <v>29.9</v>
      </c>
      <c r="E80" s="17">
        <v>9.4</v>
      </c>
      <c r="F80" s="18">
        <v>11.729999999999999</v>
      </c>
      <c r="G80" s="17">
        <v>62</v>
      </c>
    </row>
    <row r="81" spans="1:7" ht="15.75" customHeight="1" x14ac:dyDescent="0.5">
      <c r="A81" s="15">
        <v>80</v>
      </c>
      <c r="B81" s="16">
        <f t="shared" si="0"/>
        <v>45075</v>
      </c>
      <c r="C81" s="17">
        <v>31.2</v>
      </c>
      <c r="D81" s="17">
        <v>7.7</v>
      </c>
      <c r="E81" s="17">
        <v>23.1</v>
      </c>
      <c r="F81" s="18">
        <v>6.2099999999999991</v>
      </c>
      <c r="G81" s="17">
        <v>120</v>
      </c>
    </row>
    <row r="82" spans="1:7" ht="15.75" customHeight="1" x14ac:dyDescent="0.5">
      <c r="A82" s="15">
        <v>81</v>
      </c>
      <c r="B82" s="16">
        <f t="shared" si="0"/>
        <v>45076</v>
      </c>
      <c r="C82" s="17">
        <v>19.28</v>
      </c>
      <c r="D82" s="17">
        <v>26.7</v>
      </c>
      <c r="E82" s="17">
        <v>22.3</v>
      </c>
      <c r="F82" s="18">
        <v>12.070000000000002</v>
      </c>
      <c r="G82" s="17">
        <v>120</v>
      </c>
    </row>
    <row r="83" spans="1:7" ht="15.75" customHeight="1" x14ac:dyDescent="0.5">
      <c r="A83" s="15">
        <v>82</v>
      </c>
      <c r="B83" s="16">
        <f t="shared" si="0"/>
        <v>45077</v>
      </c>
      <c r="C83" s="17">
        <v>151.96</v>
      </c>
      <c r="D83" s="17">
        <v>4.0999999999999996</v>
      </c>
      <c r="E83" s="17">
        <v>36.9</v>
      </c>
      <c r="F83" s="18">
        <v>11.270000000000001</v>
      </c>
      <c r="G83" s="17">
        <v>128</v>
      </c>
    </row>
    <row r="84" spans="1:7" ht="15.75" customHeight="1" x14ac:dyDescent="0.5">
      <c r="A84" s="15">
        <v>83</v>
      </c>
      <c r="B84" s="16">
        <f t="shared" si="0"/>
        <v>45078</v>
      </c>
      <c r="C84" s="17">
        <v>18.059999999999999</v>
      </c>
      <c r="D84" s="17">
        <v>20.3</v>
      </c>
      <c r="E84" s="17">
        <v>32.5</v>
      </c>
      <c r="F84" s="18">
        <v>4.68</v>
      </c>
      <c r="G84" s="17">
        <v>128</v>
      </c>
    </row>
    <row r="85" spans="1:7" ht="15.75" customHeight="1" x14ac:dyDescent="0.5">
      <c r="A85" s="15">
        <v>84</v>
      </c>
      <c r="B85" s="16">
        <f t="shared" si="0"/>
        <v>45079</v>
      </c>
      <c r="C85" s="17">
        <v>22.68</v>
      </c>
      <c r="D85" s="17">
        <v>44.5</v>
      </c>
      <c r="E85" s="17">
        <v>35.6</v>
      </c>
      <c r="F85" s="18">
        <v>14.849999999999998</v>
      </c>
      <c r="G85" s="17">
        <v>149</v>
      </c>
    </row>
    <row r="86" spans="1:7" ht="15.75" customHeight="1" x14ac:dyDescent="0.5">
      <c r="A86" s="15">
        <v>85</v>
      </c>
      <c r="B86" s="16">
        <f t="shared" si="0"/>
        <v>45080</v>
      </c>
      <c r="C86" s="17">
        <v>45.7</v>
      </c>
      <c r="D86" s="17">
        <v>43</v>
      </c>
      <c r="E86" s="17">
        <v>33.799999999999997</v>
      </c>
      <c r="F86" s="18">
        <v>29.330000000000002</v>
      </c>
      <c r="G86" s="17">
        <v>223</v>
      </c>
    </row>
    <row r="87" spans="1:7" ht="15.75" customHeight="1" x14ac:dyDescent="0.5">
      <c r="A87" s="15">
        <v>86</v>
      </c>
      <c r="B87" s="16">
        <f t="shared" si="0"/>
        <v>45081</v>
      </c>
      <c r="C87" s="17">
        <v>42.64</v>
      </c>
      <c r="D87" s="17">
        <v>18.399999999999999</v>
      </c>
      <c r="E87" s="17">
        <v>65.7</v>
      </c>
      <c r="F87" s="18">
        <v>2.2399999999999984</v>
      </c>
      <c r="G87" s="17">
        <v>159</v>
      </c>
    </row>
    <row r="88" spans="1:7" ht="15.75" customHeight="1" x14ac:dyDescent="0.5">
      <c r="A88" s="15">
        <v>87</v>
      </c>
      <c r="B88" s="16">
        <f t="shared" si="0"/>
        <v>45082</v>
      </c>
      <c r="C88" s="17">
        <v>21.259999999999998</v>
      </c>
      <c r="D88" s="17">
        <v>27.5</v>
      </c>
      <c r="E88" s="17">
        <v>16</v>
      </c>
      <c r="F88" s="18">
        <v>14.979999999999999</v>
      </c>
      <c r="G88" s="17">
        <v>122</v>
      </c>
    </row>
    <row r="89" spans="1:7" ht="15.75" customHeight="1" x14ac:dyDescent="0.5">
      <c r="A89" s="15">
        <v>88</v>
      </c>
      <c r="B89" s="16">
        <f t="shared" si="0"/>
        <v>45083</v>
      </c>
      <c r="C89" s="17">
        <v>28.14</v>
      </c>
      <c r="D89" s="17">
        <v>40.6</v>
      </c>
      <c r="E89" s="17">
        <v>63.2</v>
      </c>
      <c r="F89" s="18">
        <v>6.09</v>
      </c>
      <c r="G89" s="17">
        <v>180</v>
      </c>
    </row>
    <row r="90" spans="1:7" ht="15.75" customHeight="1" x14ac:dyDescent="0.5">
      <c r="A90" s="15">
        <v>89</v>
      </c>
      <c r="B90" s="16">
        <f t="shared" si="0"/>
        <v>45084</v>
      </c>
      <c r="C90" s="17">
        <v>27.66</v>
      </c>
      <c r="D90" s="17">
        <v>225.5</v>
      </c>
      <c r="E90" s="17">
        <v>73.400000000000006</v>
      </c>
      <c r="F90" s="18">
        <v>12.219999999999995</v>
      </c>
      <c r="G90" s="17">
        <v>147</v>
      </c>
    </row>
    <row r="91" spans="1:7" ht="15.75" customHeight="1" x14ac:dyDescent="0.5">
      <c r="A91" s="15">
        <v>90</v>
      </c>
      <c r="B91" s="16">
        <f t="shared" si="0"/>
        <v>45085</v>
      </c>
      <c r="C91" s="17">
        <v>23.96</v>
      </c>
      <c r="D91" s="17">
        <v>47.8</v>
      </c>
      <c r="E91" s="17">
        <v>51.4</v>
      </c>
      <c r="F91" s="18">
        <v>14.319999999999993</v>
      </c>
      <c r="G91" s="17">
        <v>177</v>
      </c>
    </row>
    <row r="92" spans="1:7" ht="15.75" customHeight="1" x14ac:dyDescent="0.5">
      <c r="A92" s="15">
        <v>91</v>
      </c>
      <c r="B92" s="16">
        <f t="shared" si="0"/>
        <v>45086</v>
      </c>
      <c r="C92" s="17">
        <v>31.860000000000003</v>
      </c>
      <c r="D92" s="17">
        <v>4.9000000000000004</v>
      </c>
      <c r="E92" s="17">
        <v>9.3000000000000007</v>
      </c>
      <c r="F92" s="18">
        <v>12.160000000000002</v>
      </c>
      <c r="G92" s="17">
        <v>93</v>
      </c>
    </row>
    <row r="93" spans="1:7" ht="15.75" customHeight="1" x14ac:dyDescent="0.5">
      <c r="A93" s="15">
        <v>92</v>
      </c>
      <c r="B93" s="16">
        <f t="shared" si="0"/>
        <v>45087</v>
      </c>
      <c r="C93" s="17">
        <v>14.72</v>
      </c>
      <c r="D93" s="17">
        <v>1.5</v>
      </c>
      <c r="E93" s="17">
        <v>33</v>
      </c>
      <c r="F93" s="18">
        <v>10.41</v>
      </c>
      <c r="G93" s="17">
        <v>74</v>
      </c>
    </row>
    <row r="94" spans="1:7" ht="15.75" customHeight="1" x14ac:dyDescent="0.5">
      <c r="A94" s="15">
        <v>93</v>
      </c>
      <c r="B94" s="16">
        <f t="shared" si="0"/>
        <v>45088</v>
      </c>
      <c r="C94" s="17">
        <v>47.54</v>
      </c>
      <c r="D94" s="17">
        <v>33.5</v>
      </c>
      <c r="E94" s="17">
        <v>59</v>
      </c>
      <c r="F94" s="18">
        <v>14.919999999999995</v>
      </c>
      <c r="G94" s="17">
        <v>811</v>
      </c>
    </row>
    <row r="95" spans="1:7" ht="15.75" customHeight="1" x14ac:dyDescent="0.5">
      <c r="A95" s="15">
        <v>94</v>
      </c>
      <c r="B95" s="16">
        <f t="shared" si="0"/>
        <v>45089</v>
      </c>
      <c r="C95" s="17">
        <v>56.18</v>
      </c>
      <c r="D95" s="17">
        <v>36.5</v>
      </c>
      <c r="E95" s="17">
        <v>72.3</v>
      </c>
      <c r="F95" s="18">
        <v>14.420000000000002</v>
      </c>
      <c r="G95" s="17">
        <v>225</v>
      </c>
    </row>
    <row r="96" spans="1:7" ht="15.75" customHeight="1" x14ac:dyDescent="0.5">
      <c r="A96" s="15">
        <v>95</v>
      </c>
      <c r="B96" s="16">
        <f t="shared" si="0"/>
        <v>45090</v>
      </c>
      <c r="C96" s="17">
        <v>30.48</v>
      </c>
      <c r="D96" s="17">
        <v>14</v>
      </c>
      <c r="E96" s="17">
        <v>10.9</v>
      </c>
      <c r="F96" s="18">
        <v>13.380000000000003</v>
      </c>
      <c r="G96" s="17">
        <v>117</v>
      </c>
    </row>
    <row r="97" spans="1:7" ht="15.75" customHeight="1" x14ac:dyDescent="0.5">
      <c r="A97" s="15">
        <v>96</v>
      </c>
      <c r="B97" s="16">
        <f t="shared" si="0"/>
        <v>45091</v>
      </c>
      <c r="C97" s="17">
        <v>40.660000000000004</v>
      </c>
      <c r="D97" s="17">
        <v>31.6</v>
      </c>
      <c r="E97" s="17">
        <v>52.9</v>
      </c>
      <c r="F97" s="18">
        <v>10.970000000000002</v>
      </c>
      <c r="G97" s="17">
        <v>175</v>
      </c>
    </row>
    <row r="98" spans="1:7" ht="15.75" customHeight="1" x14ac:dyDescent="0.5">
      <c r="A98" s="15">
        <v>97</v>
      </c>
      <c r="B98" s="16">
        <f t="shared" si="0"/>
        <v>45092</v>
      </c>
      <c r="C98" s="17">
        <v>46.519999999999996</v>
      </c>
      <c r="D98" s="17">
        <v>3.5</v>
      </c>
      <c r="E98" s="17">
        <v>5.9</v>
      </c>
      <c r="F98" s="18">
        <v>19.149999999999999</v>
      </c>
      <c r="G98" s="17">
        <v>132</v>
      </c>
    </row>
    <row r="99" spans="1:7" ht="15.75" customHeight="1" x14ac:dyDescent="0.5">
      <c r="A99" s="15">
        <v>98</v>
      </c>
      <c r="B99" s="16">
        <f t="shared" si="0"/>
        <v>45093</v>
      </c>
      <c r="C99" s="17">
        <v>41.980000000000004</v>
      </c>
      <c r="D99" s="17">
        <v>21</v>
      </c>
      <c r="E99" s="17">
        <v>22</v>
      </c>
      <c r="F99" s="18">
        <v>20.190000000000001</v>
      </c>
      <c r="G99" s="17">
        <v>168</v>
      </c>
    </row>
    <row r="100" spans="1:7" ht="15.75" customHeight="1" x14ac:dyDescent="0.5">
      <c r="A100" s="15">
        <v>99</v>
      </c>
      <c r="B100" s="16">
        <f t="shared" si="0"/>
        <v>45094</v>
      </c>
      <c r="C100" s="17">
        <v>64.94</v>
      </c>
      <c r="D100" s="17">
        <v>42.3</v>
      </c>
      <c r="E100" s="17">
        <v>51.2</v>
      </c>
      <c r="F100" s="18">
        <v>29.639999999999993</v>
      </c>
      <c r="G100" s="17">
        <v>257</v>
      </c>
    </row>
    <row r="101" spans="1:7" ht="15.75" customHeight="1" x14ac:dyDescent="0.5">
      <c r="A101" s="15">
        <v>100</v>
      </c>
      <c r="B101" s="16">
        <f t="shared" si="0"/>
        <v>45095</v>
      </c>
      <c r="C101" s="17">
        <v>28.04</v>
      </c>
      <c r="D101" s="17">
        <v>41.7</v>
      </c>
      <c r="E101" s="17">
        <v>45.9</v>
      </c>
      <c r="F101" s="18">
        <v>16.010000000000005</v>
      </c>
      <c r="G101" s="17">
        <v>183</v>
      </c>
    </row>
    <row r="102" spans="1:7" ht="15.75" customHeight="1" x14ac:dyDescent="0.5">
      <c r="A102" s="15">
        <v>101</v>
      </c>
      <c r="B102" s="16">
        <f t="shared" si="0"/>
        <v>45096</v>
      </c>
      <c r="C102" s="17">
        <v>51.480000000000004</v>
      </c>
      <c r="D102" s="17">
        <v>4.3</v>
      </c>
      <c r="E102" s="17">
        <v>49.8</v>
      </c>
      <c r="F102" s="18">
        <v>4.4699999999999989</v>
      </c>
      <c r="G102" s="17">
        <v>137</v>
      </c>
    </row>
    <row r="103" spans="1:7" ht="15.75" customHeight="1" x14ac:dyDescent="0.5">
      <c r="A103" s="15">
        <v>102</v>
      </c>
      <c r="B103" s="16">
        <f t="shared" si="0"/>
        <v>45097</v>
      </c>
      <c r="C103" s="17">
        <v>63.279999999999994</v>
      </c>
      <c r="D103" s="17">
        <v>36.299999999999997</v>
      </c>
      <c r="E103" s="17">
        <v>93.625</v>
      </c>
      <c r="F103" s="18">
        <v>10.339999999999989</v>
      </c>
      <c r="G103" s="17">
        <v>254</v>
      </c>
    </row>
    <row r="104" spans="1:7" ht="15.75" customHeight="1" x14ac:dyDescent="0.5">
      <c r="A104" s="15">
        <v>103</v>
      </c>
      <c r="B104" s="16">
        <f t="shared" si="0"/>
        <v>45098</v>
      </c>
      <c r="C104" s="17">
        <v>64.039999999999992</v>
      </c>
      <c r="D104" s="17">
        <v>10.1</v>
      </c>
      <c r="E104" s="17">
        <v>21.4</v>
      </c>
      <c r="F104" s="18">
        <v>24.509999999999998</v>
      </c>
      <c r="G104" s="17">
        <v>158</v>
      </c>
    </row>
    <row r="105" spans="1:7" ht="15.75" customHeight="1" x14ac:dyDescent="0.5">
      <c r="A105" s="15">
        <v>104</v>
      </c>
      <c r="B105" s="16">
        <f t="shared" si="0"/>
        <v>45099</v>
      </c>
      <c r="C105" s="17">
        <v>38.58</v>
      </c>
      <c r="D105" s="17">
        <v>17.2</v>
      </c>
      <c r="E105" s="17">
        <v>17.899999999999999</v>
      </c>
      <c r="F105" s="18">
        <v>20.23</v>
      </c>
      <c r="G105" s="17">
        <v>163</v>
      </c>
    </row>
    <row r="106" spans="1:7" ht="15.75" customHeight="1" x14ac:dyDescent="0.5">
      <c r="A106" s="15">
        <v>105</v>
      </c>
      <c r="B106" s="16">
        <f t="shared" si="0"/>
        <v>45100</v>
      </c>
      <c r="C106" s="17">
        <v>54.64</v>
      </c>
      <c r="D106" s="17">
        <v>34.299999999999997</v>
      </c>
      <c r="E106" s="17">
        <v>5.3</v>
      </c>
      <c r="F106" s="18">
        <v>38.85</v>
      </c>
      <c r="G106" s="17">
        <v>208</v>
      </c>
    </row>
    <row r="107" spans="1:7" ht="15.75" customHeight="1" x14ac:dyDescent="0.5">
      <c r="A107" s="15">
        <v>106</v>
      </c>
      <c r="B107" s="16">
        <f t="shared" si="0"/>
        <v>45101</v>
      </c>
      <c r="C107" s="17">
        <v>37.58</v>
      </c>
      <c r="D107" s="17">
        <v>46.4</v>
      </c>
      <c r="E107" s="17">
        <v>59</v>
      </c>
      <c r="F107" s="18">
        <v>13.39</v>
      </c>
      <c r="G107" s="17">
        <v>196</v>
      </c>
    </row>
    <row r="108" spans="1:7" ht="15.75" customHeight="1" x14ac:dyDescent="0.5">
      <c r="A108" s="15">
        <v>107</v>
      </c>
      <c r="B108" s="16">
        <f t="shared" si="0"/>
        <v>45102</v>
      </c>
      <c r="C108" s="17">
        <v>8</v>
      </c>
      <c r="D108" s="17">
        <v>11</v>
      </c>
      <c r="E108" s="17">
        <v>29.7</v>
      </c>
      <c r="F108" s="18">
        <v>16.119999999999997</v>
      </c>
      <c r="G108" s="17">
        <v>86</v>
      </c>
    </row>
    <row r="109" spans="1:7" ht="15.75" customHeight="1" x14ac:dyDescent="0.5">
      <c r="A109" s="15">
        <v>108</v>
      </c>
      <c r="B109" s="16">
        <f t="shared" si="0"/>
        <v>45103</v>
      </c>
      <c r="C109" s="17">
        <v>27.080000000000002</v>
      </c>
      <c r="D109" s="17">
        <v>0.3</v>
      </c>
      <c r="E109" s="17">
        <v>23.2</v>
      </c>
      <c r="F109" s="18">
        <v>19.910000000000004</v>
      </c>
      <c r="G109" s="17">
        <v>104</v>
      </c>
    </row>
    <row r="110" spans="1:7" ht="15.75" customHeight="1" x14ac:dyDescent="0.5">
      <c r="A110" s="15">
        <v>109</v>
      </c>
      <c r="B110" s="16">
        <f t="shared" si="0"/>
        <v>45104</v>
      </c>
      <c r="C110" s="17">
        <v>9.620000000000001</v>
      </c>
      <c r="D110" s="17">
        <v>0.4</v>
      </c>
      <c r="E110" s="17">
        <v>25.6</v>
      </c>
      <c r="F110" s="18">
        <v>11.269999999999998</v>
      </c>
      <c r="G110" s="17">
        <v>54</v>
      </c>
    </row>
    <row r="111" spans="1:7" ht="15.75" customHeight="1" x14ac:dyDescent="0.5">
      <c r="A111" s="15">
        <v>110</v>
      </c>
      <c r="B111" s="16">
        <f t="shared" si="0"/>
        <v>45105</v>
      </c>
      <c r="C111" s="17">
        <v>53.08</v>
      </c>
      <c r="D111" s="17">
        <v>26.9</v>
      </c>
      <c r="E111" s="17">
        <v>5.5</v>
      </c>
      <c r="F111" s="18">
        <v>36.789999999999992</v>
      </c>
      <c r="G111" s="17"/>
    </row>
    <row r="112" spans="1:7" ht="15.75" customHeight="1" x14ac:dyDescent="0.5">
      <c r="A112" s="15">
        <v>111</v>
      </c>
      <c r="B112" s="16">
        <f t="shared" si="0"/>
        <v>45106</v>
      </c>
      <c r="C112" s="17">
        <v>54.160000000000004</v>
      </c>
      <c r="D112" s="17">
        <v>8.1999999999999993</v>
      </c>
      <c r="E112" s="17">
        <v>56.5</v>
      </c>
      <c r="F112" s="18">
        <v>4.0799999999999983</v>
      </c>
      <c r="G112" s="17">
        <v>150</v>
      </c>
    </row>
    <row r="113" spans="1:7" ht="15.75" customHeight="1" x14ac:dyDescent="0.5">
      <c r="A113" s="15">
        <v>112</v>
      </c>
      <c r="B113" s="16">
        <f t="shared" si="0"/>
        <v>45107</v>
      </c>
      <c r="C113" s="17">
        <v>55.339999999999996</v>
      </c>
      <c r="D113" s="17">
        <v>38</v>
      </c>
      <c r="E113" s="17">
        <v>23.2</v>
      </c>
      <c r="F113" s="18">
        <v>33.89</v>
      </c>
      <c r="G113" s="17">
        <v>221</v>
      </c>
    </row>
    <row r="114" spans="1:7" ht="15.75" customHeight="1" x14ac:dyDescent="0.5">
      <c r="A114" s="15">
        <v>113</v>
      </c>
      <c r="B114" s="16">
        <f t="shared" si="0"/>
        <v>45108</v>
      </c>
      <c r="C114" s="17">
        <v>39.14</v>
      </c>
      <c r="D114" s="17">
        <v>15.4</v>
      </c>
      <c r="E114" s="17">
        <v>2.4</v>
      </c>
      <c r="F114" s="18">
        <v>24.31</v>
      </c>
      <c r="G114" s="17">
        <v>159</v>
      </c>
    </row>
    <row r="115" spans="1:7" ht="15.75" customHeight="1" x14ac:dyDescent="0.5">
      <c r="A115" s="15">
        <v>114</v>
      </c>
      <c r="B115" s="16">
        <f t="shared" si="0"/>
        <v>45109</v>
      </c>
      <c r="C115" s="17">
        <v>44.92</v>
      </c>
      <c r="D115" s="17">
        <v>20.6</v>
      </c>
      <c r="E115" s="17">
        <v>10.7</v>
      </c>
      <c r="F115" s="18">
        <v>26.98</v>
      </c>
      <c r="G115" s="17">
        <v>167</v>
      </c>
    </row>
    <row r="116" spans="1:7" ht="15.75" customHeight="1" x14ac:dyDescent="0.5">
      <c r="A116" s="15">
        <v>115</v>
      </c>
      <c r="B116" s="16">
        <f t="shared" si="0"/>
        <v>45110</v>
      </c>
      <c r="C116" s="17">
        <v>18.64</v>
      </c>
      <c r="D116" s="17">
        <v>46.8</v>
      </c>
      <c r="E116" s="17">
        <v>34.5</v>
      </c>
      <c r="F116" s="18">
        <v>17.419999999999998</v>
      </c>
      <c r="G116" s="17">
        <v>152</v>
      </c>
    </row>
    <row r="117" spans="1:7" ht="15.75" customHeight="1" x14ac:dyDescent="0.5">
      <c r="A117" s="15">
        <v>116</v>
      </c>
      <c r="B117" s="16">
        <f t="shared" si="0"/>
        <v>45111</v>
      </c>
      <c r="C117" s="17">
        <v>24.02</v>
      </c>
      <c r="D117" s="17">
        <v>35</v>
      </c>
      <c r="E117" s="17">
        <v>52.7</v>
      </c>
      <c r="F117" s="18">
        <v>3.9299999999999962</v>
      </c>
      <c r="G117" s="17">
        <v>133</v>
      </c>
    </row>
    <row r="118" spans="1:7" ht="15.75" customHeight="1" x14ac:dyDescent="0.5">
      <c r="A118" s="15">
        <v>117</v>
      </c>
      <c r="B118" s="16">
        <f t="shared" si="0"/>
        <v>45112</v>
      </c>
      <c r="C118" s="17">
        <v>37.839999999999996</v>
      </c>
      <c r="D118" s="17">
        <v>14.3</v>
      </c>
      <c r="E118" s="17">
        <v>25.6</v>
      </c>
      <c r="F118" s="18">
        <v>10.829999999999998</v>
      </c>
      <c r="G118" s="17">
        <v>129</v>
      </c>
    </row>
    <row r="119" spans="1:7" ht="15.75" customHeight="1" x14ac:dyDescent="0.5">
      <c r="A119" s="15">
        <v>118</v>
      </c>
      <c r="B119" s="16">
        <f t="shared" si="0"/>
        <v>45113</v>
      </c>
      <c r="C119" s="17">
        <v>25.28</v>
      </c>
      <c r="D119" s="17">
        <v>0.8</v>
      </c>
      <c r="E119" s="17">
        <v>14.8</v>
      </c>
      <c r="F119" s="18">
        <v>2.12</v>
      </c>
      <c r="G119" s="17">
        <v>108</v>
      </c>
    </row>
    <row r="120" spans="1:7" ht="15.75" customHeight="1" x14ac:dyDescent="0.5">
      <c r="A120" s="15">
        <v>119</v>
      </c>
      <c r="B120" s="16">
        <f t="shared" si="0"/>
        <v>45114</v>
      </c>
      <c r="C120" s="17">
        <v>29.14</v>
      </c>
      <c r="D120" s="17">
        <v>36.9</v>
      </c>
      <c r="E120" s="17">
        <v>79.2</v>
      </c>
      <c r="F120" s="18">
        <v>19.339999999999996</v>
      </c>
      <c r="G120" s="17">
        <v>172</v>
      </c>
    </row>
    <row r="121" spans="1:7" ht="15.75" customHeight="1" x14ac:dyDescent="0.5">
      <c r="A121" s="15">
        <v>120</v>
      </c>
      <c r="B121" s="16">
        <f t="shared" si="0"/>
        <v>45115</v>
      </c>
      <c r="C121" s="17">
        <v>9.879999999999999</v>
      </c>
      <c r="D121" s="17">
        <v>16</v>
      </c>
      <c r="E121" s="17">
        <v>22.3</v>
      </c>
      <c r="F121" s="18">
        <v>1.0199999999999996</v>
      </c>
      <c r="G121" s="17">
        <v>77</v>
      </c>
    </row>
    <row r="122" spans="1:7" ht="15.75" customHeight="1" x14ac:dyDescent="0.5">
      <c r="A122" s="15">
        <v>121</v>
      </c>
      <c r="B122" s="16">
        <f t="shared" si="0"/>
        <v>45116</v>
      </c>
      <c r="C122" s="17">
        <v>36.260000000000005</v>
      </c>
      <c r="D122" s="17">
        <v>26.8</v>
      </c>
      <c r="E122" s="17">
        <v>46.2</v>
      </c>
      <c r="F122" s="18">
        <v>9.0500000000000007</v>
      </c>
      <c r="G122" s="17">
        <v>163</v>
      </c>
    </row>
    <row r="123" spans="1:7" ht="15.75" customHeight="1" x14ac:dyDescent="0.5">
      <c r="A123" s="15">
        <v>122</v>
      </c>
      <c r="B123" s="16">
        <f t="shared" si="0"/>
        <v>45117</v>
      </c>
      <c r="C123" s="17">
        <v>7.76</v>
      </c>
      <c r="D123" s="17">
        <v>21.7</v>
      </c>
      <c r="E123" s="17">
        <v>50.4</v>
      </c>
      <c r="F123" s="18">
        <v>12.57</v>
      </c>
      <c r="G123" s="17">
        <v>81</v>
      </c>
    </row>
    <row r="124" spans="1:7" ht="15.75" customHeight="1" x14ac:dyDescent="0.5">
      <c r="A124" s="15">
        <v>123</v>
      </c>
      <c r="B124" s="16">
        <f t="shared" si="0"/>
        <v>45118</v>
      </c>
      <c r="C124" s="17">
        <v>45.8</v>
      </c>
      <c r="D124" s="17">
        <v>2.4</v>
      </c>
      <c r="E124" s="17">
        <v>15.6</v>
      </c>
      <c r="F124" s="18">
        <v>17.36</v>
      </c>
      <c r="G124" s="17">
        <v>125</v>
      </c>
    </row>
    <row r="125" spans="1:7" ht="15.75" customHeight="1" x14ac:dyDescent="0.5">
      <c r="A125" s="15">
        <v>124</v>
      </c>
      <c r="B125" s="16">
        <f t="shared" si="0"/>
        <v>45119</v>
      </c>
      <c r="C125" s="17">
        <v>33.619999999999997</v>
      </c>
      <c r="D125" s="17">
        <v>34.6</v>
      </c>
      <c r="E125" s="17">
        <v>12.4</v>
      </c>
      <c r="F125" s="18">
        <v>24.65</v>
      </c>
      <c r="G125" s="17">
        <v>171</v>
      </c>
    </row>
    <row r="126" spans="1:7" ht="15.75" customHeight="1" x14ac:dyDescent="0.5">
      <c r="A126" s="15">
        <v>125</v>
      </c>
      <c r="B126" s="16">
        <f t="shared" si="0"/>
        <v>45120</v>
      </c>
      <c r="C126" s="17">
        <v>51.9</v>
      </c>
      <c r="D126" s="17">
        <v>32.299999999999997</v>
      </c>
      <c r="E126" s="17">
        <v>74.2</v>
      </c>
      <c r="F126" s="18">
        <v>9.419999999999991</v>
      </c>
      <c r="G126" s="17">
        <v>201</v>
      </c>
    </row>
    <row r="127" spans="1:7" ht="15.75" customHeight="1" x14ac:dyDescent="0.5">
      <c r="A127" s="15">
        <v>126</v>
      </c>
      <c r="B127" s="16">
        <f t="shared" si="0"/>
        <v>45121</v>
      </c>
      <c r="C127" s="17">
        <v>18.440000000000001</v>
      </c>
      <c r="D127" s="17">
        <v>11.8</v>
      </c>
      <c r="E127" s="17">
        <v>25.9</v>
      </c>
      <c r="F127" s="18">
        <v>4.2600000000000016</v>
      </c>
      <c r="G127" s="17">
        <v>126</v>
      </c>
    </row>
    <row r="128" spans="1:7" ht="15.75" customHeight="1" x14ac:dyDescent="0.5">
      <c r="A128" s="15">
        <v>127</v>
      </c>
      <c r="B128" s="16">
        <f t="shared" si="0"/>
        <v>45122</v>
      </c>
      <c r="C128" s="17">
        <v>8.56</v>
      </c>
      <c r="D128" s="17">
        <v>38.9</v>
      </c>
      <c r="E128" s="17">
        <v>50.6</v>
      </c>
      <c r="F128" s="18">
        <v>19.989999999999998</v>
      </c>
      <c r="G128" s="17">
        <v>78</v>
      </c>
    </row>
    <row r="129" spans="1:7" ht="15.75" customHeight="1" x14ac:dyDescent="0.5">
      <c r="A129" s="15">
        <v>128</v>
      </c>
      <c r="B129" s="16">
        <f t="shared" si="0"/>
        <v>45123</v>
      </c>
      <c r="C129" s="17">
        <v>71.06</v>
      </c>
      <c r="D129" s="17"/>
      <c r="E129" s="17">
        <v>9.1999999999999993</v>
      </c>
      <c r="F129" s="18">
        <v>31.35</v>
      </c>
      <c r="G129" s="17">
        <v>92</v>
      </c>
    </row>
    <row r="130" spans="1:7" ht="15.75" customHeight="1" x14ac:dyDescent="0.5">
      <c r="A130" s="15">
        <v>129</v>
      </c>
      <c r="B130" s="16">
        <f t="shared" si="0"/>
        <v>45124</v>
      </c>
      <c r="C130" s="17">
        <v>54.06</v>
      </c>
      <c r="D130" s="17">
        <v>49</v>
      </c>
      <c r="E130" s="17">
        <v>3.2</v>
      </c>
      <c r="F130" s="18">
        <v>45.25</v>
      </c>
      <c r="G130" s="17">
        <v>264</v>
      </c>
    </row>
    <row r="131" spans="1:7" ht="15.75" customHeight="1" x14ac:dyDescent="0.5">
      <c r="A131" s="15">
        <v>130</v>
      </c>
      <c r="B131" s="16">
        <f t="shared" si="0"/>
        <v>45125</v>
      </c>
      <c r="C131" s="17">
        <v>18.920000000000002</v>
      </c>
      <c r="D131" s="17">
        <v>12</v>
      </c>
      <c r="E131" s="17">
        <v>43.1</v>
      </c>
      <c r="F131" s="18">
        <v>14.719999999999999</v>
      </c>
      <c r="G131" s="17">
        <v>116</v>
      </c>
    </row>
    <row r="132" spans="1:7" ht="15.75" customHeight="1" x14ac:dyDescent="0.5">
      <c r="A132" s="15">
        <v>131</v>
      </c>
      <c r="B132" s="16">
        <f t="shared" si="0"/>
        <v>45126</v>
      </c>
      <c r="C132" s="17">
        <v>6</v>
      </c>
      <c r="D132" s="17">
        <v>39.6</v>
      </c>
      <c r="E132" s="17">
        <v>8.6999999999999993</v>
      </c>
      <c r="F132" s="18">
        <v>111</v>
      </c>
      <c r="G132" s="17">
        <v>28</v>
      </c>
    </row>
    <row r="133" spans="1:7" ht="15.75" customHeight="1" x14ac:dyDescent="0.5">
      <c r="A133" s="15">
        <v>132</v>
      </c>
      <c r="B133" s="16">
        <f t="shared" si="0"/>
        <v>45127</v>
      </c>
      <c r="C133" s="17">
        <v>55.04</v>
      </c>
      <c r="D133" s="17">
        <v>2.9</v>
      </c>
      <c r="E133" s="17">
        <v>43</v>
      </c>
      <c r="F133" s="18">
        <v>10.77</v>
      </c>
      <c r="G133" s="17">
        <v>147</v>
      </c>
    </row>
    <row r="134" spans="1:7" ht="15.75" customHeight="1" x14ac:dyDescent="0.5">
      <c r="A134" s="15">
        <v>133</v>
      </c>
      <c r="B134" s="16">
        <f t="shared" si="0"/>
        <v>45128</v>
      </c>
      <c r="C134" s="17">
        <v>5.68</v>
      </c>
      <c r="D134" s="17">
        <v>27.2</v>
      </c>
      <c r="E134" s="17">
        <v>2.1</v>
      </c>
      <c r="F134" s="18">
        <v>13.6</v>
      </c>
      <c r="G134" s="17">
        <v>71</v>
      </c>
    </row>
    <row r="135" spans="1:7" ht="15.75" customHeight="1" x14ac:dyDescent="0.5">
      <c r="A135" s="15">
        <v>134</v>
      </c>
      <c r="B135" s="16">
        <f t="shared" si="0"/>
        <v>45129</v>
      </c>
      <c r="C135" s="17">
        <v>45.96</v>
      </c>
      <c r="D135" s="17">
        <v>33.5</v>
      </c>
      <c r="E135" s="17">
        <v>45.1</v>
      </c>
      <c r="F135" s="18">
        <v>20.69</v>
      </c>
      <c r="G135" s="17"/>
    </row>
    <row r="136" spans="1:7" ht="15.75" customHeight="1" x14ac:dyDescent="0.5">
      <c r="A136" s="15">
        <v>135</v>
      </c>
      <c r="B136" s="16">
        <f t="shared" si="0"/>
        <v>45130</v>
      </c>
      <c r="C136" s="17">
        <v>14.379999999999999</v>
      </c>
      <c r="D136" s="17">
        <v>38.6</v>
      </c>
      <c r="E136" s="17">
        <v>65.599999999999994</v>
      </c>
      <c r="F136" s="18">
        <v>16.750000000000004</v>
      </c>
      <c r="G136" s="17">
        <v>124</v>
      </c>
    </row>
    <row r="137" spans="1:7" ht="15.75" customHeight="1" x14ac:dyDescent="0.5">
      <c r="A137" s="15">
        <v>136</v>
      </c>
      <c r="B137" s="16">
        <f t="shared" si="0"/>
        <v>45131</v>
      </c>
      <c r="C137" s="17">
        <v>14.66</v>
      </c>
      <c r="D137" s="17">
        <v>47</v>
      </c>
      <c r="E137" s="17">
        <v>8.5</v>
      </c>
      <c r="F137" s="18">
        <v>24.93</v>
      </c>
      <c r="G137" s="17">
        <v>124</v>
      </c>
    </row>
    <row r="138" spans="1:7" ht="15.75" customHeight="1" x14ac:dyDescent="0.5">
      <c r="A138" s="15">
        <v>137</v>
      </c>
      <c r="B138" s="16">
        <f t="shared" si="0"/>
        <v>45132</v>
      </c>
      <c r="C138" s="17">
        <v>10.120000000000001</v>
      </c>
      <c r="D138" s="17">
        <v>39</v>
      </c>
      <c r="E138" s="17">
        <v>9.3000000000000007</v>
      </c>
      <c r="F138" s="18">
        <v>18.339999999999996</v>
      </c>
      <c r="G138" s="17">
        <v>98</v>
      </c>
    </row>
    <row r="139" spans="1:7" ht="15.75" customHeight="1" x14ac:dyDescent="0.5">
      <c r="A139" s="15">
        <v>138</v>
      </c>
      <c r="B139" s="16">
        <f t="shared" si="0"/>
        <v>45133</v>
      </c>
      <c r="C139" s="17">
        <v>58.739999999999995</v>
      </c>
      <c r="D139" s="17">
        <v>28.9</v>
      </c>
      <c r="E139" s="17">
        <v>59.7</v>
      </c>
      <c r="F139" s="18">
        <v>17.939999999999991</v>
      </c>
      <c r="G139" s="17">
        <v>210</v>
      </c>
    </row>
    <row r="140" spans="1:7" ht="15.75" customHeight="1" x14ac:dyDescent="0.5">
      <c r="A140" s="15">
        <v>139</v>
      </c>
      <c r="B140" s="16">
        <f t="shared" si="0"/>
        <v>45134</v>
      </c>
      <c r="C140" s="17">
        <v>9.6</v>
      </c>
      <c r="D140" s="17">
        <v>25.9</v>
      </c>
      <c r="E140" s="17">
        <v>20.5</v>
      </c>
      <c r="F140" s="18">
        <v>9.0499999999999989</v>
      </c>
      <c r="G140" s="17">
        <v>109</v>
      </c>
    </row>
    <row r="141" spans="1:7" ht="15.75" customHeight="1" x14ac:dyDescent="0.5">
      <c r="A141" s="15">
        <v>140</v>
      </c>
      <c r="B141" s="16">
        <f t="shared" si="0"/>
        <v>45135</v>
      </c>
      <c r="C141" s="17">
        <v>196.98</v>
      </c>
      <c r="D141" s="17">
        <v>43.9</v>
      </c>
      <c r="E141" s="17">
        <v>1.7</v>
      </c>
      <c r="F141" s="18">
        <v>39.76</v>
      </c>
      <c r="G141" s="17">
        <v>227</v>
      </c>
    </row>
    <row r="142" spans="1:7" ht="15.75" customHeight="1" x14ac:dyDescent="0.5">
      <c r="A142" s="15">
        <v>141</v>
      </c>
      <c r="B142" s="16">
        <f t="shared" si="0"/>
        <v>45136</v>
      </c>
      <c r="C142" s="17"/>
      <c r="D142" s="17">
        <v>17</v>
      </c>
      <c r="E142" s="17">
        <v>12.9</v>
      </c>
      <c r="F142" s="18">
        <v>10.68</v>
      </c>
      <c r="G142" s="17">
        <v>113</v>
      </c>
    </row>
    <row r="143" spans="1:7" ht="15.75" customHeight="1" x14ac:dyDescent="0.5">
      <c r="A143" s="15">
        <v>142</v>
      </c>
      <c r="B143" s="16">
        <f t="shared" si="0"/>
        <v>45137</v>
      </c>
      <c r="C143" s="17"/>
      <c r="D143" s="17">
        <v>35.4</v>
      </c>
      <c r="E143" s="17">
        <v>75.599999999999994</v>
      </c>
      <c r="F143" s="18">
        <v>6.8299999999999947</v>
      </c>
      <c r="G143" s="17">
        <v>207</v>
      </c>
    </row>
    <row r="144" spans="1:7" ht="15.75" customHeight="1" x14ac:dyDescent="0.5">
      <c r="A144" s="15">
        <v>143</v>
      </c>
      <c r="B144" s="16">
        <f t="shared" si="0"/>
        <v>45138</v>
      </c>
      <c r="C144" s="17">
        <v>50.1</v>
      </c>
      <c r="D144" s="17">
        <v>33.200000000000003</v>
      </c>
      <c r="E144" s="17">
        <v>37.9</v>
      </c>
      <c r="F144" s="18">
        <v>23.490000000000006</v>
      </c>
      <c r="G144" s="17">
        <v>218</v>
      </c>
    </row>
    <row r="145" spans="1:7" ht="15.75" customHeight="1" x14ac:dyDescent="0.5">
      <c r="A145" s="15">
        <v>144</v>
      </c>
      <c r="B145" s="16">
        <f t="shared" si="0"/>
        <v>45139</v>
      </c>
      <c r="C145" s="17">
        <v>28.919999999999998</v>
      </c>
      <c r="D145" s="17">
        <v>5.7</v>
      </c>
      <c r="E145" s="17">
        <v>34.4</v>
      </c>
      <c r="F145" s="18">
        <v>19.549999999999997</v>
      </c>
      <c r="G145" s="17"/>
    </row>
    <row r="146" spans="1:7" ht="15.75" customHeight="1" x14ac:dyDescent="0.5">
      <c r="A146" s="15">
        <v>145</v>
      </c>
      <c r="B146" s="16">
        <f t="shared" si="0"/>
        <v>45140</v>
      </c>
      <c r="C146" s="17">
        <v>29.240000000000002</v>
      </c>
      <c r="D146" s="17">
        <v>14.8</v>
      </c>
      <c r="E146" s="17">
        <v>38.9</v>
      </c>
      <c r="F146" s="18">
        <v>1.4600000000000026</v>
      </c>
      <c r="G146" s="17">
        <v>127</v>
      </c>
    </row>
    <row r="147" spans="1:7" ht="15.75" customHeight="1" x14ac:dyDescent="0.5">
      <c r="A147" s="15">
        <v>146</v>
      </c>
      <c r="B147" s="16">
        <f t="shared" si="0"/>
        <v>45141</v>
      </c>
      <c r="C147" s="17">
        <v>31.060000000000002</v>
      </c>
      <c r="D147" s="17">
        <v>1.9</v>
      </c>
      <c r="E147" s="17">
        <v>9</v>
      </c>
      <c r="F147" s="18">
        <v>11.38</v>
      </c>
      <c r="G147" s="17">
        <v>123</v>
      </c>
    </row>
    <row r="148" spans="1:7" ht="15.75" customHeight="1" x14ac:dyDescent="0.5">
      <c r="A148" s="15">
        <v>147</v>
      </c>
      <c r="B148" s="16">
        <f t="shared" si="0"/>
        <v>45142</v>
      </c>
      <c r="C148" s="17">
        <v>55.019999999999996</v>
      </c>
      <c r="D148" s="17">
        <v>7.3</v>
      </c>
      <c r="E148" s="17">
        <v>8.6999999999999993</v>
      </c>
      <c r="F148" s="18">
        <v>24.179999999999996</v>
      </c>
      <c r="G148" s="17">
        <v>142</v>
      </c>
    </row>
    <row r="149" spans="1:7" ht="15.75" customHeight="1" x14ac:dyDescent="0.5">
      <c r="A149" s="15">
        <v>148</v>
      </c>
      <c r="B149" s="16">
        <f t="shared" si="0"/>
        <v>45143</v>
      </c>
      <c r="C149" s="17">
        <v>50.64</v>
      </c>
      <c r="D149" s="17">
        <v>49</v>
      </c>
      <c r="E149" s="17">
        <v>44.3</v>
      </c>
      <c r="F149" s="18">
        <v>31.1</v>
      </c>
      <c r="G149" s="17">
        <v>265</v>
      </c>
    </row>
    <row r="150" spans="1:7" ht="15.75" customHeight="1" x14ac:dyDescent="0.5">
      <c r="A150" s="15">
        <v>149</v>
      </c>
      <c r="B150" s="16">
        <f t="shared" si="0"/>
        <v>45144</v>
      </c>
      <c r="C150" s="17">
        <v>15.6</v>
      </c>
      <c r="D150" s="17">
        <v>40.299999999999997</v>
      </c>
      <c r="E150" s="17">
        <v>11.9</v>
      </c>
      <c r="F150" s="18">
        <v>19.189999999999998</v>
      </c>
      <c r="G150" s="17">
        <v>110</v>
      </c>
    </row>
    <row r="151" spans="1:7" ht="15.75" customHeight="1" x14ac:dyDescent="0.5">
      <c r="A151" s="15">
        <v>150</v>
      </c>
      <c r="B151" s="16">
        <f t="shared" si="0"/>
        <v>45145</v>
      </c>
      <c r="C151" s="17">
        <v>164</v>
      </c>
      <c r="D151" s="17">
        <v>25.8</v>
      </c>
      <c r="E151" s="17">
        <v>20.6</v>
      </c>
      <c r="F151" s="18">
        <v>9.1300000000000008</v>
      </c>
      <c r="G151" s="17">
        <v>118</v>
      </c>
    </row>
    <row r="152" spans="1:7" ht="15.75" customHeight="1" x14ac:dyDescent="0.5">
      <c r="A152" s="15">
        <v>151</v>
      </c>
      <c r="B152" s="16">
        <f t="shared" si="0"/>
        <v>45146</v>
      </c>
      <c r="C152" s="17">
        <v>66.14</v>
      </c>
      <c r="D152" s="17">
        <v>13.9</v>
      </c>
      <c r="E152" s="17">
        <v>37</v>
      </c>
      <c r="F152" s="18">
        <v>20.220000000000002</v>
      </c>
      <c r="G152" s="17">
        <v>166</v>
      </c>
    </row>
    <row r="153" spans="1:7" ht="15.75" customHeight="1" x14ac:dyDescent="0.5">
      <c r="A153" s="15">
        <v>152</v>
      </c>
      <c r="B153" s="16">
        <f t="shared" si="0"/>
        <v>45147</v>
      </c>
      <c r="C153" s="17">
        <v>31.2</v>
      </c>
      <c r="D153" s="17">
        <v>8.4</v>
      </c>
      <c r="E153" s="17">
        <v>48.7</v>
      </c>
      <c r="F153" s="18">
        <v>16.819999999999997</v>
      </c>
      <c r="G153" s="17">
        <v>125</v>
      </c>
    </row>
    <row r="154" spans="1:7" ht="15.75" customHeight="1" x14ac:dyDescent="0.5">
      <c r="A154" s="15">
        <v>153</v>
      </c>
      <c r="B154" s="16">
        <f t="shared" si="0"/>
        <v>45148</v>
      </c>
      <c r="C154" s="17">
        <v>40.519999999999996</v>
      </c>
      <c r="D154" s="17">
        <v>23.3</v>
      </c>
      <c r="E154" s="17">
        <v>14.2</v>
      </c>
      <c r="F154" s="18">
        <v>25.729999999999997</v>
      </c>
      <c r="G154" s="17">
        <v>169</v>
      </c>
    </row>
    <row r="155" spans="1:7" ht="15.75" customHeight="1" x14ac:dyDescent="0.5">
      <c r="A155" s="15">
        <v>154</v>
      </c>
      <c r="B155" s="16">
        <f t="shared" si="0"/>
        <v>45149</v>
      </c>
      <c r="C155" s="17">
        <v>37.260000000000005</v>
      </c>
      <c r="D155" s="17">
        <v>39.700000000000003</v>
      </c>
      <c r="E155" s="17">
        <v>37.700000000000003</v>
      </c>
      <c r="F155" s="18">
        <v>21.900000000000002</v>
      </c>
      <c r="G155" s="17">
        <v>208</v>
      </c>
    </row>
    <row r="156" spans="1:7" ht="15.75" customHeight="1" x14ac:dyDescent="0.5">
      <c r="A156" s="15">
        <v>155</v>
      </c>
      <c r="B156" s="16">
        <f t="shared" si="0"/>
        <v>45150</v>
      </c>
      <c r="C156" s="17">
        <v>43.56</v>
      </c>
      <c r="D156" s="17">
        <v>21.1</v>
      </c>
      <c r="E156" s="17">
        <v>9.5</v>
      </c>
      <c r="F156" s="18">
        <v>25.53</v>
      </c>
      <c r="G156" s="17">
        <v>166</v>
      </c>
    </row>
    <row r="157" spans="1:7" ht="15.75" customHeight="1" x14ac:dyDescent="0.5">
      <c r="A157" s="15">
        <v>156</v>
      </c>
      <c r="B157" s="16">
        <f t="shared" si="0"/>
        <v>45151</v>
      </c>
      <c r="C157" s="17">
        <v>9.82</v>
      </c>
      <c r="D157" s="17">
        <v>11.6</v>
      </c>
      <c r="E157" s="17">
        <v>5.7</v>
      </c>
      <c r="F157" s="18">
        <v>92</v>
      </c>
      <c r="G157" s="17">
        <v>35</v>
      </c>
    </row>
    <row r="158" spans="1:7" ht="15.75" customHeight="1" x14ac:dyDescent="0.5">
      <c r="A158" s="15">
        <v>157</v>
      </c>
      <c r="B158" s="16">
        <f t="shared" si="0"/>
        <v>45152</v>
      </c>
      <c r="C158" s="17">
        <v>25.78</v>
      </c>
      <c r="D158" s="17">
        <v>43.5</v>
      </c>
      <c r="E158" s="17">
        <v>50.5</v>
      </c>
      <c r="F158" s="18">
        <v>10.939999999999998</v>
      </c>
      <c r="G158" s="17">
        <v>173</v>
      </c>
    </row>
    <row r="159" spans="1:7" ht="15.75" customHeight="1" x14ac:dyDescent="0.5">
      <c r="A159" s="15">
        <v>158</v>
      </c>
      <c r="B159" s="16">
        <f t="shared" si="0"/>
        <v>45153</v>
      </c>
      <c r="C159" s="17">
        <v>39.96</v>
      </c>
      <c r="D159" s="17">
        <v>1.3</v>
      </c>
      <c r="E159" s="17">
        <v>24.3</v>
      </c>
      <c r="F159" s="18">
        <v>5.91</v>
      </c>
      <c r="G159" s="17">
        <v>111</v>
      </c>
    </row>
    <row r="160" spans="1:7" ht="15.75" customHeight="1" x14ac:dyDescent="0.5">
      <c r="A160" s="15">
        <v>159</v>
      </c>
      <c r="B160" s="16">
        <f t="shared" si="0"/>
        <v>45154</v>
      </c>
      <c r="C160" s="17">
        <v>12.34</v>
      </c>
      <c r="D160" s="17">
        <v>36.9</v>
      </c>
      <c r="E160" s="17">
        <v>45.2</v>
      </c>
      <c r="F160" s="18">
        <v>1.5399999999999956</v>
      </c>
      <c r="G160" s="17">
        <v>85</v>
      </c>
    </row>
    <row r="161" spans="1:7" ht="15.75" customHeight="1" x14ac:dyDescent="0.5">
      <c r="A161" s="15">
        <v>160</v>
      </c>
      <c r="B161" s="16">
        <f t="shared" si="0"/>
        <v>45155</v>
      </c>
      <c r="C161" s="17">
        <v>32.339999999999996</v>
      </c>
      <c r="D161" s="17">
        <v>18.399999999999999</v>
      </c>
      <c r="E161" s="17">
        <v>34.6</v>
      </c>
      <c r="F161" s="18">
        <v>8.5299999999999958</v>
      </c>
      <c r="G161" s="17">
        <v>138</v>
      </c>
    </row>
    <row r="162" spans="1:7" ht="15.75" customHeight="1" x14ac:dyDescent="0.5">
      <c r="A162" s="15">
        <v>161</v>
      </c>
      <c r="B162" s="16">
        <f t="shared" si="0"/>
        <v>45156</v>
      </c>
      <c r="C162" s="17">
        <v>44.5</v>
      </c>
      <c r="D162" s="17">
        <v>18.100000000000001</v>
      </c>
      <c r="E162" s="17">
        <v>30.7</v>
      </c>
      <c r="F162" s="18">
        <v>14.02</v>
      </c>
      <c r="G162" s="17">
        <v>159</v>
      </c>
    </row>
    <row r="163" spans="1:7" ht="15.75" customHeight="1" x14ac:dyDescent="0.5">
      <c r="A163" s="15">
        <v>162</v>
      </c>
      <c r="B163" s="16">
        <f t="shared" si="0"/>
        <v>45157</v>
      </c>
      <c r="C163" s="17">
        <v>19.14</v>
      </c>
      <c r="D163" s="17">
        <v>35.799999999999997</v>
      </c>
      <c r="E163" s="17">
        <v>49.3</v>
      </c>
      <c r="F163" s="18">
        <v>6.75</v>
      </c>
      <c r="G163" s="17">
        <v>151</v>
      </c>
    </row>
    <row r="164" spans="1:7" ht="15.75" customHeight="1" x14ac:dyDescent="0.5">
      <c r="A164" s="15">
        <v>163</v>
      </c>
      <c r="B164" s="16">
        <f t="shared" si="0"/>
        <v>45158</v>
      </c>
      <c r="C164" s="17">
        <v>42.68</v>
      </c>
      <c r="D164" s="17"/>
      <c r="E164" s="17"/>
      <c r="F164" s="18">
        <v>17.649999999999999</v>
      </c>
      <c r="G164" s="17">
        <v>168</v>
      </c>
    </row>
    <row r="165" spans="1:7" ht="15.75" customHeight="1" x14ac:dyDescent="0.5">
      <c r="A165" s="15">
        <v>164</v>
      </c>
      <c r="B165" s="16">
        <f t="shared" si="0"/>
        <v>45159</v>
      </c>
      <c r="C165" s="17">
        <v>33.700000000000003</v>
      </c>
      <c r="D165" s="17">
        <v>36.799999999999997</v>
      </c>
      <c r="E165" s="17">
        <v>7.4</v>
      </c>
      <c r="F165" s="18">
        <v>31.79</v>
      </c>
      <c r="G165" s="17">
        <v>193</v>
      </c>
    </row>
    <row r="166" spans="1:7" ht="15.75" customHeight="1" x14ac:dyDescent="0.5">
      <c r="A166" s="15">
        <v>165</v>
      </c>
      <c r="B166" s="16">
        <f t="shared" si="0"/>
        <v>45160</v>
      </c>
      <c r="C166" s="17">
        <v>28.44</v>
      </c>
      <c r="D166" s="17">
        <v>14.7</v>
      </c>
      <c r="E166" s="17">
        <v>5.4</v>
      </c>
      <c r="F166" s="18">
        <v>16.91</v>
      </c>
      <c r="G166" s="17">
        <v>132</v>
      </c>
    </row>
    <row r="167" spans="1:7" ht="15.75" customHeight="1" x14ac:dyDescent="0.5">
      <c r="A167" s="15">
        <v>166</v>
      </c>
      <c r="B167" s="16">
        <f t="shared" si="0"/>
        <v>45161</v>
      </c>
      <c r="C167" s="17">
        <v>56.9</v>
      </c>
      <c r="D167" s="17">
        <v>3.4</v>
      </c>
      <c r="E167" s="17">
        <v>84.8</v>
      </c>
      <c r="F167" s="18">
        <v>11.229999999999997</v>
      </c>
      <c r="G167" s="17">
        <v>131</v>
      </c>
    </row>
    <row r="168" spans="1:7" ht="15.75" customHeight="1" x14ac:dyDescent="0.5">
      <c r="A168" s="15">
        <v>167</v>
      </c>
      <c r="B168" s="16">
        <f t="shared" si="0"/>
        <v>45162</v>
      </c>
      <c r="C168" s="17">
        <v>11.58</v>
      </c>
      <c r="D168" s="17">
        <v>37.6</v>
      </c>
      <c r="E168" s="17">
        <v>21.6</v>
      </c>
      <c r="F168" s="18">
        <v>11.95</v>
      </c>
      <c r="G168" s="17">
        <v>90</v>
      </c>
    </row>
    <row r="169" spans="1:7" ht="15.75" customHeight="1" x14ac:dyDescent="0.5">
      <c r="A169" s="15">
        <v>168</v>
      </c>
      <c r="B169" s="16">
        <f t="shared" si="0"/>
        <v>45163</v>
      </c>
      <c r="C169" s="17">
        <v>48.36</v>
      </c>
      <c r="D169" s="17">
        <v>5.2</v>
      </c>
      <c r="E169" s="17">
        <v>19.399999999999999</v>
      </c>
      <c r="F169" s="18">
        <v>15.520000000000001</v>
      </c>
      <c r="G169" s="17">
        <v>129</v>
      </c>
    </row>
    <row r="170" spans="1:7" ht="15.75" customHeight="1" x14ac:dyDescent="0.5">
      <c r="A170" s="15">
        <v>169</v>
      </c>
      <c r="B170" s="16">
        <f t="shared" si="0"/>
        <v>45164</v>
      </c>
      <c r="C170" s="17">
        <v>45.08</v>
      </c>
      <c r="D170" s="17">
        <v>23.6</v>
      </c>
      <c r="E170" s="17">
        <v>57.6</v>
      </c>
      <c r="F170" s="18">
        <v>10.3</v>
      </c>
      <c r="G170" s="17">
        <v>185</v>
      </c>
    </row>
    <row r="171" spans="1:7" ht="15.75" customHeight="1" x14ac:dyDescent="0.5">
      <c r="A171" s="15">
        <v>170</v>
      </c>
      <c r="B171" s="16">
        <f t="shared" si="0"/>
        <v>45165</v>
      </c>
      <c r="C171" s="17">
        <v>60.86</v>
      </c>
      <c r="D171" s="17">
        <v>10.6</v>
      </c>
      <c r="E171" s="17">
        <v>6.4</v>
      </c>
      <c r="F171" s="18">
        <v>31.169999999999995</v>
      </c>
      <c r="G171" s="17">
        <v>162</v>
      </c>
    </row>
    <row r="172" spans="1:7" ht="15.75" customHeight="1" x14ac:dyDescent="0.5">
      <c r="A172" s="15">
        <v>171</v>
      </c>
      <c r="B172" s="16">
        <f t="shared" si="0"/>
        <v>45166</v>
      </c>
      <c r="C172" s="17">
        <v>12</v>
      </c>
      <c r="D172" s="17">
        <v>11.6</v>
      </c>
      <c r="E172" s="17">
        <v>18.399999999999999</v>
      </c>
      <c r="F172" s="18">
        <v>3.4400000000000013</v>
      </c>
      <c r="G172" s="17">
        <v>90</v>
      </c>
    </row>
    <row r="173" spans="1:7" ht="15.75" customHeight="1" x14ac:dyDescent="0.5">
      <c r="A173" s="15">
        <v>172</v>
      </c>
      <c r="B173" s="16">
        <f t="shared" si="0"/>
        <v>45167</v>
      </c>
      <c r="C173" s="17">
        <v>42.9</v>
      </c>
      <c r="D173" s="17">
        <v>20.9</v>
      </c>
      <c r="E173" s="17">
        <v>47.4</v>
      </c>
      <c r="F173" s="18">
        <v>7.9399999999999977</v>
      </c>
      <c r="G173" s="17">
        <v>163</v>
      </c>
    </row>
    <row r="174" spans="1:7" ht="15.75" customHeight="1" x14ac:dyDescent="0.5">
      <c r="A174" s="15">
        <v>173</v>
      </c>
      <c r="B174" s="16">
        <f t="shared" si="0"/>
        <v>45168</v>
      </c>
      <c r="C174" s="17">
        <v>9.92</v>
      </c>
      <c r="D174" s="17">
        <v>20.100000000000001</v>
      </c>
      <c r="E174" s="17">
        <v>17</v>
      </c>
      <c r="F174" s="18">
        <v>5.2100000000000009</v>
      </c>
      <c r="G174" s="17">
        <v>93</v>
      </c>
    </row>
    <row r="175" spans="1:7" ht="15.75" customHeight="1" x14ac:dyDescent="0.5">
      <c r="A175" s="15">
        <v>174</v>
      </c>
      <c r="B175" s="16">
        <f t="shared" si="0"/>
        <v>45169</v>
      </c>
      <c r="C175" s="17">
        <v>36.68</v>
      </c>
      <c r="D175" s="17">
        <v>7.1</v>
      </c>
      <c r="E175" s="17">
        <v>12.8</v>
      </c>
      <c r="F175" s="18">
        <v>15.27</v>
      </c>
      <c r="G175" s="17">
        <v>129</v>
      </c>
    </row>
    <row r="176" spans="1:7" ht="15.75" customHeight="1" x14ac:dyDescent="0.5">
      <c r="A176" s="15">
        <v>175</v>
      </c>
      <c r="B176" s="16">
        <f t="shared" si="0"/>
        <v>45170</v>
      </c>
      <c r="C176" s="17">
        <v>53.480000000000004</v>
      </c>
      <c r="D176" s="17">
        <v>3.4</v>
      </c>
      <c r="E176" s="17">
        <v>13.1</v>
      </c>
      <c r="F176" s="18">
        <v>18.700000000000003</v>
      </c>
      <c r="G176" s="17">
        <v>127</v>
      </c>
    </row>
    <row r="177" spans="1:7" ht="15.75" customHeight="1" x14ac:dyDescent="0.5">
      <c r="A177" s="15">
        <v>176</v>
      </c>
      <c r="B177" s="16">
        <f t="shared" si="0"/>
        <v>45171</v>
      </c>
      <c r="C177" s="17">
        <v>64.38</v>
      </c>
      <c r="D177" s="17">
        <v>48.9</v>
      </c>
      <c r="E177" s="17">
        <v>41.8</v>
      </c>
      <c r="F177" s="18">
        <v>35.42</v>
      </c>
      <c r="G177" s="17">
        <v>271</v>
      </c>
    </row>
    <row r="178" spans="1:7" ht="15.75" customHeight="1" x14ac:dyDescent="0.5">
      <c r="A178" s="15">
        <v>177</v>
      </c>
      <c r="B178" s="16">
        <f t="shared" si="0"/>
        <v>45172</v>
      </c>
      <c r="C178" s="17">
        <v>58.68</v>
      </c>
      <c r="D178" s="17">
        <v>30.2</v>
      </c>
      <c r="E178" s="17">
        <v>20.3</v>
      </c>
      <c r="F178" s="18">
        <v>31.819999999999997</v>
      </c>
      <c r="G178" s="17">
        <v>216</v>
      </c>
    </row>
    <row r="179" spans="1:7" ht="15.75" customHeight="1" x14ac:dyDescent="0.5">
      <c r="A179" s="15">
        <v>178</v>
      </c>
      <c r="B179" s="16">
        <f t="shared" si="0"/>
        <v>45173</v>
      </c>
      <c r="C179" s="17">
        <v>40.04</v>
      </c>
      <c r="D179" s="17">
        <v>7.8</v>
      </c>
      <c r="E179" s="17">
        <v>35.200000000000003</v>
      </c>
      <c r="F179" s="18">
        <v>95</v>
      </c>
      <c r="G179" s="17">
        <v>131</v>
      </c>
    </row>
    <row r="180" spans="1:7" ht="15.75" customHeight="1" x14ac:dyDescent="0.5">
      <c r="A180" s="15">
        <v>179</v>
      </c>
      <c r="B180" s="16">
        <f t="shared" si="0"/>
        <v>45174</v>
      </c>
      <c r="C180" s="17">
        <v>63.339999999999996</v>
      </c>
      <c r="D180" s="17">
        <v>2.2999999999999998</v>
      </c>
      <c r="E180" s="17">
        <v>23.7</v>
      </c>
      <c r="F180" s="18">
        <v>19.339999999999996</v>
      </c>
      <c r="G180" s="17">
        <v>131</v>
      </c>
    </row>
    <row r="181" spans="1:7" ht="15.75" customHeight="1" x14ac:dyDescent="0.5">
      <c r="A181" s="15">
        <v>180</v>
      </c>
      <c r="B181" s="16">
        <f t="shared" si="0"/>
        <v>45175</v>
      </c>
      <c r="C181" s="17">
        <v>41.12</v>
      </c>
      <c r="D181" s="17">
        <v>10</v>
      </c>
      <c r="E181" s="17">
        <v>17.600000000000001</v>
      </c>
      <c r="F181" s="18">
        <v>14.519999999999998</v>
      </c>
      <c r="G181" s="17">
        <v>135</v>
      </c>
    </row>
    <row r="182" spans="1:7" ht="15.75" customHeight="1" x14ac:dyDescent="0.5">
      <c r="A182" s="15">
        <v>181</v>
      </c>
      <c r="B182" s="16">
        <f t="shared" si="0"/>
        <v>45176</v>
      </c>
      <c r="C182" s="17">
        <v>36.32</v>
      </c>
      <c r="D182" s="17">
        <v>2.6</v>
      </c>
      <c r="E182" s="17">
        <v>8.3000000000000007</v>
      </c>
      <c r="F182" s="18">
        <v>13.64</v>
      </c>
      <c r="G182" s="17">
        <v>108</v>
      </c>
    </row>
    <row r="183" spans="1:7" ht="15.75" customHeight="1" x14ac:dyDescent="0.5">
      <c r="A183" s="15">
        <v>182</v>
      </c>
      <c r="B183" s="16">
        <f t="shared" si="0"/>
        <v>45177</v>
      </c>
      <c r="C183" s="17">
        <v>52.7</v>
      </c>
      <c r="D183" s="17">
        <v>5.4</v>
      </c>
      <c r="E183" s="17">
        <v>27.4</v>
      </c>
      <c r="F183" s="18">
        <v>13.59</v>
      </c>
      <c r="G183" s="17">
        <v>124</v>
      </c>
    </row>
    <row r="184" spans="1:7" ht="15.75" customHeight="1" x14ac:dyDescent="0.5">
      <c r="A184" s="15">
        <v>183</v>
      </c>
      <c r="B184" s="16">
        <f t="shared" si="0"/>
        <v>45178</v>
      </c>
      <c r="C184" s="17">
        <v>18.240000000000002</v>
      </c>
      <c r="D184" s="17">
        <v>5.7</v>
      </c>
      <c r="E184" s="17">
        <v>29.7</v>
      </c>
      <c r="F184" s="18">
        <v>16.59</v>
      </c>
      <c r="G184" s="17">
        <v>105</v>
      </c>
    </row>
    <row r="185" spans="1:7" ht="15.75" customHeight="1" x14ac:dyDescent="0.5">
      <c r="A185" s="15">
        <v>184</v>
      </c>
      <c r="B185" s="16">
        <f t="shared" si="0"/>
        <v>45179</v>
      </c>
      <c r="C185" s="17">
        <v>65.52000000000001</v>
      </c>
      <c r="D185" s="17">
        <v>43</v>
      </c>
      <c r="E185" s="17">
        <v>71.8</v>
      </c>
      <c r="F185" s="18">
        <v>21.540000000000006</v>
      </c>
      <c r="G185" s="17">
        <v>272</v>
      </c>
    </row>
    <row r="186" spans="1:7" ht="15.75" customHeight="1" x14ac:dyDescent="0.5">
      <c r="A186" s="15">
        <v>185</v>
      </c>
      <c r="B186" s="16">
        <f t="shared" si="0"/>
        <v>45180</v>
      </c>
      <c r="C186" s="17">
        <v>58.760000000000005</v>
      </c>
      <c r="D186" s="17">
        <v>21.3</v>
      </c>
      <c r="E186" s="17">
        <v>30</v>
      </c>
      <c r="F186" s="18">
        <v>24.03</v>
      </c>
      <c r="G186" s="17">
        <v>188</v>
      </c>
    </row>
    <row r="187" spans="1:7" ht="15.75" customHeight="1" x14ac:dyDescent="0.5">
      <c r="A187" s="15">
        <v>186</v>
      </c>
      <c r="B187" s="16">
        <f t="shared" si="0"/>
        <v>45181</v>
      </c>
      <c r="C187" s="17">
        <v>46</v>
      </c>
      <c r="D187" s="17">
        <v>45.1</v>
      </c>
      <c r="E187" s="17">
        <v>19.600000000000001</v>
      </c>
      <c r="F187" s="18">
        <v>35.209999999999994</v>
      </c>
      <c r="G187" s="17">
        <v>228</v>
      </c>
    </row>
    <row r="188" spans="1:7" ht="15.75" customHeight="1" x14ac:dyDescent="0.5">
      <c r="A188" s="15">
        <v>187</v>
      </c>
      <c r="B188" s="16">
        <f t="shared" si="0"/>
        <v>45182</v>
      </c>
      <c r="C188" s="17">
        <v>35.9</v>
      </c>
      <c r="D188" s="17">
        <v>2.1</v>
      </c>
      <c r="E188" s="17">
        <v>26.6</v>
      </c>
      <c r="F188" s="18">
        <v>4.3599999999999994</v>
      </c>
      <c r="G188" s="17">
        <v>108</v>
      </c>
    </row>
    <row r="189" spans="1:7" ht="15.75" customHeight="1" x14ac:dyDescent="0.5">
      <c r="A189" s="15">
        <v>188</v>
      </c>
      <c r="B189" s="16">
        <f t="shared" si="0"/>
        <v>45183</v>
      </c>
      <c r="C189" s="17">
        <v>41.22</v>
      </c>
      <c r="D189" s="17">
        <v>28.7</v>
      </c>
      <c r="E189" s="17">
        <v>18.2</v>
      </c>
      <c r="F189" s="18">
        <v>26.18</v>
      </c>
      <c r="G189" s="17">
        <v>186</v>
      </c>
    </row>
    <row r="190" spans="1:7" ht="15.75" customHeight="1" x14ac:dyDescent="0.5">
      <c r="A190" s="15">
        <v>189</v>
      </c>
      <c r="B190" s="16">
        <f t="shared" si="0"/>
        <v>45184</v>
      </c>
      <c r="C190" s="17">
        <v>59.2</v>
      </c>
      <c r="D190" s="17">
        <v>13.9</v>
      </c>
      <c r="E190" s="17">
        <v>3.7</v>
      </c>
      <c r="F190" s="18">
        <v>34.070000000000007</v>
      </c>
      <c r="G190" s="17">
        <v>167</v>
      </c>
    </row>
    <row r="191" spans="1:7" ht="15.75" customHeight="1" x14ac:dyDescent="0.5">
      <c r="A191" s="15">
        <v>190</v>
      </c>
      <c r="B191" s="16">
        <f t="shared" si="0"/>
        <v>45185</v>
      </c>
      <c r="C191" s="17">
        <v>6.74</v>
      </c>
      <c r="D191" s="17">
        <v>12.1</v>
      </c>
      <c r="E191" s="17">
        <v>23.4</v>
      </c>
      <c r="F191" s="18">
        <v>18.560000000000002</v>
      </c>
      <c r="G191" s="17">
        <v>83</v>
      </c>
    </row>
    <row r="192" spans="1:7" ht="15.75" customHeight="1" x14ac:dyDescent="0.5">
      <c r="A192" s="15">
        <v>191</v>
      </c>
      <c r="B192" s="16">
        <f t="shared" si="0"/>
        <v>45186</v>
      </c>
      <c r="C192" s="17">
        <v>15.9</v>
      </c>
      <c r="D192" s="17">
        <v>41.1</v>
      </c>
      <c r="E192" s="17">
        <v>5.8</v>
      </c>
      <c r="F192" s="18">
        <v>22.18</v>
      </c>
      <c r="G192" s="17">
        <v>114</v>
      </c>
    </row>
    <row r="193" spans="1:7" ht="15.75" customHeight="1" x14ac:dyDescent="0.5">
      <c r="A193" s="15">
        <v>192</v>
      </c>
      <c r="B193" s="16">
        <f t="shared" si="0"/>
        <v>45187</v>
      </c>
      <c r="C193" s="17">
        <v>21.1</v>
      </c>
      <c r="D193" s="17">
        <v>10.8</v>
      </c>
      <c r="E193" s="17">
        <v>6</v>
      </c>
      <c r="F193" s="18">
        <v>10.549999999999999</v>
      </c>
      <c r="G193" s="17">
        <v>116</v>
      </c>
    </row>
    <row r="194" spans="1:7" ht="15.75" customHeight="1" x14ac:dyDescent="0.5">
      <c r="A194" s="15">
        <v>193</v>
      </c>
      <c r="B194" s="16">
        <f t="shared" si="0"/>
        <v>45188</v>
      </c>
      <c r="C194" s="17">
        <v>12.44</v>
      </c>
      <c r="D194" s="17">
        <v>4.0999999999999996</v>
      </c>
      <c r="E194" s="17">
        <v>31.6</v>
      </c>
      <c r="F194" s="18">
        <v>11.129999999999999</v>
      </c>
      <c r="G194" s="17">
        <v>62</v>
      </c>
    </row>
    <row r="195" spans="1:7" ht="15.75" customHeight="1" x14ac:dyDescent="0.5">
      <c r="A195" s="15">
        <v>194</v>
      </c>
      <c r="B195" s="16">
        <f t="shared" si="0"/>
        <v>45189</v>
      </c>
      <c r="C195" s="17">
        <v>41.36</v>
      </c>
      <c r="D195" s="17">
        <v>42</v>
      </c>
      <c r="E195" s="17">
        <v>3.6</v>
      </c>
      <c r="F195" s="18">
        <v>36.24</v>
      </c>
      <c r="G195" s="17">
        <v>204</v>
      </c>
    </row>
    <row r="196" spans="1:7" ht="15.75" customHeight="1" x14ac:dyDescent="0.5">
      <c r="A196" s="15">
        <v>195</v>
      </c>
      <c r="B196" s="16">
        <f t="shared" si="0"/>
        <v>45190</v>
      </c>
      <c r="C196" s="17">
        <v>32.94</v>
      </c>
      <c r="D196" s="17">
        <v>35.6</v>
      </c>
      <c r="E196" s="17">
        <v>6</v>
      </c>
      <c r="F196" s="18"/>
      <c r="G196" s="17">
        <v>184</v>
      </c>
    </row>
    <row r="197" spans="1:7" ht="15.75" customHeight="1" x14ac:dyDescent="0.5">
      <c r="A197" s="15">
        <v>196</v>
      </c>
      <c r="B197" s="16">
        <f t="shared" si="0"/>
        <v>45191</v>
      </c>
      <c r="C197" s="17">
        <v>14.64</v>
      </c>
      <c r="D197" s="17">
        <v>3.7</v>
      </c>
      <c r="E197" s="17">
        <v>13.8</v>
      </c>
      <c r="F197" s="18">
        <v>0.14999999999999947</v>
      </c>
      <c r="G197" s="17">
        <v>91</v>
      </c>
    </row>
    <row r="198" spans="1:7" ht="15.75" customHeight="1" x14ac:dyDescent="0.5">
      <c r="A198" s="15">
        <v>197</v>
      </c>
      <c r="B198" s="16">
        <f t="shared" si="0"/>
        <v>45192</v>
      </c>
      <c r="C198" s="17">
        <v>27.84</v>
      </c>
      <c r="D198" s="17">
        <v>4.9000000000000004</v>
      </c>
      <c r="E198" s="17">
        <v>8.1</v>
      </c>
      <c r="F198" s="18">
        <v>8.6300000000000008</v>
      </c>
      <c r="G198" s="17">
        <v>116</v>
      </c>
    </row>
    <row r="199" spans="1:7" ht="15.75" customHeight="1" x14ac:dyDescent="0.5">
      <c r="A199" s="15">
        <v>198</v>
      </c>
      <c r="B199" s="16">
        <f t="shared" si="0"/>
        <v>45193</v>
      </c>
      <c r="C199" s="17">
        <v>44.4</v>
      </c>
      <c r="D199" s="17">
        <v>9.3000000000000007</v>
      </c>
      <c r="E199" s="17">
        <v>6.4</v>
      </c>
      <c r="F199" s="18">
        <v>19.79</v>
      </c>
      <c r="G199" s="17">
        <v>139</v>
      </c>
    </row>
    <row r="200" spans="1:7" ht="15.75" customHeight="1" x14ac:dyDescent="0.5">
      <c r="A200" s="15">
        <v>199</v>
      </c>
      <c r="B200" s="16">
        <f t="shared" si="0"/>
        <v>45194</v>
      </c>
      <c r="C200" s="17">
        <v>57.720000000000006</v>
      </c>
      <c r="D200" s="17">
        <v>42</v>
      </c>
      <c r="E200" s="17">
        <v>66.2</v>
      </c>
      <c r="F200" s="18">
        <v>22.879999999999995</v>
      </c>
      <c r="G200" s="17">
        <v>235.5</v>
      </c>
    </row>
    <row r="201" spans="1:7" ht="15.75" customHeight="1" x14ac:dyDescent="0.5">
      <c r="A201" s="15">
        <v>200</v>
      </c>
      <c r="B201" s="16">
        <v>45195</v>
      </c>
      <c r="C201" s="17">
        <v>52.42</v>
      </c>
      <c r="D201" s="17">
        <v>8.6</v>
      </c>
      <c r="E201" s="17">
        <v>8.6999999999999993</v>
      </c>
      <c r="F201" s="18">
        <v>1</v>
      </c>
      <c r="G201" s="17">
        <v>139</v>
      </c>
    </row>
    <row r="202" spans="1:7" ht="15.75" customHeight="1" x14ac:dyDescent="0.5"/>
    <row r="203" spans="1:7" ht="15.75" customHeight="1" x14ac:dyDescent="0.5"/>
    <row r="204" spans="1:7" ht="15.75" customHeight="1" x14ac:dyDescent="0.5"/>
    <row r="205" spans="1:7" ht="15.75" customHeight="1" x14ac:dyDescent="0.5"/>
    <row r="206" spans="1:7" ht="15.75" customHeight="1" x14ac:dyDescent="0.5"/>
    <row r="207" spans="1:7" ht="15.75" customHeight="1" x14ac:dyDescent="0.5"/>
    <row r="208" spans="1:7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autoFilter ref="A1:G1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14"/>
  <sheetViews>
    <sheetView showGridLines="0" topLeftCell="G1" zoomScale="69" zoomScaleNormal="200" workbookViewId="0">
      <selection activeCell="R35" sqref="R35"/>
    </sheetView>
  </sheetViews>
  <sheetFormatPr defaultColWidth="11.1875" defaultRowHeight="15" customHeight="1" x14ac:dyDescent="0.5"/>
  <cols>
    <col min="1" max="2" width="10.5" customWidth="1"/>
    <col min="3" max="3" width="14.5" bestFit="1" customWidth="1"/>
    <col min="4" max="4" width="15.625" bestFit="1" customWidth="1"/>
    <col min="5" max="5" width="11.1875" bestFit="1" customWidth="1"/>
    <col min="6" max="6" width="15.1875" bestFit="1" customWidth="1"/>
    <col min="7" max="7" width="12.8125" customWidth="1"/>
    <col min="8" max="8" width="11.5625" bestFit="1" customWidth="1"/>
    <col min="9" max="9" width="16.625" bestFit="1" customWidth="1"/>
    <col min="10" max="10" width="12.1875" customWidth="1"/>
    <col min="11" max="11" width="16.1875" bestFit="1" customWidth="1"/>
    <col min="12" max="12" width="13.8125" bestFit="1" customWidth="1"/>
    <col min="13" max="13" width="15.6875" style="3" bestFit="1" customWidth="1"/>
    <col min="14" max="14" width="10.5" customWidth="1"/>
    <col min="15" max="15" width="18.625" customWidth="1"/>
    <col min="16" max="16" width="15.375" bestFit="1" customWidth="1"/>
    <col min="17" max="17" width="18.875" bestFit="1" customWidth="1"/>
    <col min="18" max="18" width="15.125" customWidth="1"/>
    <col min="19" max="19" width="10.5" customWidth="1"/>
    <col min="20" max="20" width="14.0625" customWidth="1"/>
    <col min="21" max="23" width="10.5" customWidth="1"/>
    <col min="24" max="24" width="13.8125" customWidth="1"/>
    <col min="25" max="25" width="19.25" bestFit="1" customWidth="1"/>
    <col min="26" max="27" width="10.5" customWidth="1"/>
  </cols>
  <sheetData>
    <row r="1" spans="1:25" ht="29.25" customHeight="1" x14ac:dyDescent="0.5">
      <c r="A1" s="22" t="s">
        <v>0</v>
      </c>
      <c r="B1" s="37" t="s">
        <v>17</v>
      </c>
      <c r="C1" s="22" t="s">
        <v>1</v>
      </c>
      <c r="D1" s="23" t="s">
        <v>2</v>
      </c>
      <c r="E1" s="23" t="s">
        <v>3</v>
      </c>
      <c r="F1" s="23" t="s">
        <v>4</v>
      </c>
      <c r="G1" s="23" t="s">
        <v>8</v>
      </c>
      <c r="H1" s="24" t="s">
        <v>5</v>
      </c>
      <c r="I1" s="37" t="s">
        <v>12</v>
      </c>
      <c r="J1" s="37" t="s">
        <v>13</v>
      </c>
      <c r="K1" s="37" t="s">
        <v>14</v>
      </c>
      <c r="L1" s="37" t="s">
        <v>15</v>
      </c>
      <c r="M1" s="37" t="s">
        <v>16</v>
      </c>
      <c r="O1" s="5" t="s">
        <v>64</v>
      </c>
      <c r="P1" s="3" t="s">
        <v>19</v>
      </c>
    </row>
    <row r="2" spans="1:25" ht="15" customHeight="1" x14ac:dyDescent="0.5">
      <c r="A2" s="25">
        <v>1</v>
      </c>
      <c r="B2" s="25">
        <f>WEEKDAY(C2,2)</f>
        <v>6</v>
      </c>
      <c r="C2" s="26">
        <f t="shared" ref="C2:C200" si="0">+C3-1</f>
        <v>44996</v>
      </c>
      <c r="D2" s="27">
        <v>56.02</v>
      </c>
      <c r="E2" s="27">
        <v>37.799999999999997</v>
      </c>
      <c r="F2" s="27">
        <v>69.2</v>
      </c>
      <c r="G2" s="28">
        <v>14.229999999999993</v>
      </c>
      <c r="H2" s="27">
        <v>236</v>
      </c>
      <c r="I2" s="29">
        <v>56.02</v>
      </c>
      <c r="J2" s="29">
        <f>IF(ISBLANK(E2),U$19,E2)</f>
        <v>37.799999999999997</v>
      </c>
      <c r="K2" s="29">
        <f>IF(ISBLANK(F2),U$20,F2)</f>
        <v>69.2</v>
      </c>
      <c r="L2" s="29">
        <f>IF(ISBLANK(G2),U$21,G2)</f>
        <v>14.229999999999993</v>
      </c>
      <c r="M2" s="29">
        <f>IF(ISBLANK(H2),VLOOKUP(B2,$O$1:$P$9,2,TRUE),H2)</f>
        <v>236</v>
      </c>
      <c r="O2" s="6">
        <v>1</v>
      </c>
      <c r="P2" s="3">
        <v>150.15517241379311</v>
      </c>
    </row>
    <row r="3" spans="1:25" ht="15" customHeight="1" x14ac:dyDescent="0.5">
      <c r="A3" s="25">
        <v>2</v>
      </c>
      <c r="B3" s="25">
        <f t="shared" ref="B3:B66" si="1">WEEKDAY(C3,2)</f>
        <v>7</v>
      </c>
      <c r="C3" s="26">
        <f t="shared" si="0"/>
        <v>44997</v>
      </c>
      <c r="D3" s="27">
        <v>10.9</v>
      </c>
      <c r="E3" s="27">
        <v>39.299999999999997</v>
      </c>
      <c r="F3" s="27">
        <v>45.1</v>
      </c>
      <c r="G3" s="28">
        <v>6.0599999999999952</v>
      </c>
      <c r="H3" s="27">
        <v>122</v>
      </c>
      <c r="I3" s="29">
        <v>10.9</v>
      </c>
      <c r="J3" s="29">
        <f>IF(ISBLANK(E3),U$19,E3)</f>
        <v>39.299999999999997</v>
      </c>
      <c r="K3" s="29">
        <f>IF(ISBLANK(F3),U$20,F3)</f>
        <v>45.1</v>
      </c>
      <c r="L3" s="29">
        <f>IF(ISBLANK(G3),U$21,G3)</f>
        <v>6.0599999999999952</v>
      </c>
      <c r="M3" s="29">
        <f>IF(ISBLANK(H3),VLOOKUP(B3,$O$1:$P$9,2,TRUE),H3)</f>
        <v>122</v>
      </c>
      <c r="O3" s="6">
        <v>2</v>
      </c>
      <c r="P3" s="3">
        <v>144.14285714285714</v>
      </c>
    </row>
    <row r="4" spans="1:25" ht="15" customHeight="1" x14ac:dyDescent="0.5">
      <c r="A4" s="25">
        <v>3</v>
      </c>
      <c r="B4" s="25">
        <f t="shared" si="1"/>
        <v>1</v>
      </c>
      <c r="C4" s="26">
        <f t="shared" si="0"/>
        <v>44998</v>
      </c>
      <c r="D4" s="27">
        <v>12.44</v>
      </c>
      <c r="E4" s="27">
        <v>45.9</v>
      </c>
      <c r="F4" s="27">
        <v>69.3</v>
      </c>
      <c r="G4" s="28">
        <v>16.95</v>
      </c>
      <c r="H4" s="27">
        <v>96</v>
      </c>
      <c r="I4" s="29">
        <v>12.44</v>
      </c>
      <c r="J4" s="29">
        <f>IF(ISBLANK(E4),U$19,E4)</f>
        <v>45.9</v>
      </c>
      <c r="K4" s="29">
        <f>IF(ISBLANK(F4),U$20,F4)</f>
        <v>69.3</v>
      </c>
      <c r="L4" s="29">
        <f>IF(ISBLANK(G4),U$21,G4)</f>
        <v>16.95</v>
      </c>
      <c r="M4" s="29">
        <f>IF(ISBLANK(H4),VLOOKUP(B4,$O$1:$P$9,2,TRUE),H4)</f>
        <v>96</v>
      </c>
      <c r="O4" s="6">
        <v>3</v>
      </c>
      <c r="P4" s="3">
        <v>140.72222222222223</v>
      </c>
    </row>
    <row r="5" spans="1:25" ht="15" customHeight="1" x14ac:dyDescent="0.5">
      <c r="A5" s="25">
        <v>4</v>
      </c>
      <c r="B5" s="25">
        <f t="shared" si="1"/>
        <v>2</v>
      </c>
      <c r="C5" s="26">
        <f t="shared" si="0"/>
        <v>44999</v>
      </c>
      <c r="D5" s="27">
        <v>31.3</v>
      </c>
      <c r="E5" s="27">
        <v>41.3</v>
      </c>
      <c r="F5" s="27">
        <v>58.5</v>
      </c>
      <c r="G5" s="28">
        <v>12.399999999999995</v>
      </c>
      <c r="H5" s="27">
        <v>197</v>
      </c>
      <c r="I5" s="29">
        <v>31.3</v>
      </c>
      <c r="J5" s="29">
        <f>IF(ISBLANK(E5),U$19,E5)</f>
        <v>41.3</v>
      </c>
      <c r="K5" s="29">
        <f>IF(ISBLANK(F5),U$20,F5)</f>
        <v>58.5</v>
      </c>
      <c r="L5" s="29">
        <f>IF(ISBLANK(G5),U$21,G5)</f>
        <v>12.399999999999995</v>
      </c>
      <c r="M5" s="29">
        <f>IF(ISBLANK(H5),VLOOKUP(B5,$O$1:$P$9,2,TRUE),H5)</f>
        <v>197</v>
      </c>
      <c r="O5" s="6">
        <v>4</v>
      </c>
      <c r="P5" s="3">
        <v>153.82142857142858</v>
      </c>
    </row>
    <row r="6" spans="1:25" ht="15" customHeight="1" x14ac:dyDescent="0.5">
      <c r="A6" s="25">
        <v>5</v>
      </c>
      <c r="B6" s="25">
        <f t="shared" si="1"/>
        <v>3</v>
      </c>
      <c r="C6" s="26">
        <f t="shared" si="0"/>
        <v>45000</v>
      </c>
      <c r="D6" s="27">
        <v>46.160000000000004</v>
      </c>
      <c r="E6" s="27">
        <v>10.8</v>
      </c>
      <c r="F6" s="27">
        <v>58.4</v>
      </c>
      <c r="G6" s="28">
        <v>0.12000000000000455</v>
      </c>
      <c r="H6" s="27">
        <v>137</v>
      </c>
      <c r="I6" s="29">
        <v>46.160000000000004</v>
      </c>
      <c r="J6" s="29">
        <f>IF(ISBLANK(E6),U$19,E6)</f>
        <v>10.8</v>
      </c>
      <c r="K6" s="29">
        <f>IF(ISBLANK(F6),U$20,F6)</f>
        <v>58.4</v>
      </c>
      <c r="L6" s="29">
        <f>IF(ISBLANK(G6),U$21,G6)</f>
        <v>0.12000000000000455</v>
      </c>
      <c r="M6" s="29">
        <f>IF(ISBLANK(H6),VLOOKUP(B6,$O$1:$P$9,2,TRUE),H6)</f>
        <v>137</v>
      </c>
      <c r="O6" s="6">
        <v>5</v>
      </c>
      <c r="P6" s="3">
        <v>154.375</v>
      </c>
    </row>
    <row r="7" spans="1:25" ht="15" customHeight="1" x14ac:dyDescent="0.5">
      <c r="A7" s="25">
        <v>6</v>
      </c>
      <c r="B7" s="25">
        <f t="shared" si="1"/>
        <v>4</v>
      </c>
      <c r="C7" s="26">
        <f t="shared" si="0"/>
        <v>45001</v>
      </c>
      <c r="D7" s="27">
        <v>6.74</v>
      </c>
      <c r="E7" s="27">
        <v>48.9</v>
      </c>
      <c r="F7" s="27">
        <v>75</v>
      </c>
      <c r="G7" s="28">
        <v>15.32</v>
      </c>
      <c r="H7" s="27">
        <v>86</v>
      </c>
      <c r="I7" s="29">
        <v>6.74</v>
      </c>
      <c r="J7" s="29">
        <f>IF(ISBLANK(E7),U$19,E7)</f>
        <v>48.9</v>
      </c>
      <c r="K7" s="29">
        <f>IF(ISBLANK(F7),U$20,F7)</f>
        <v>75</v>
      </c>
      <c r="L7" s="29">
        <f>IF(ISBLANK(G7),U$21,G7)</f>
        <v>15.32</v>
      </c>
      <c r="M7" s="29">
        <f>IF(ISBLANK(H7),VLOOKUP(B7,$O$1:$P$9,2,TRUE),H7)</f>
        <v>86</v>
      </c>
      <c r="O7" s="6">
        <v>6</v>
      </c>
      <c r="P7" s="3">
        <v>164.45535714285714</v>
      </c>
    </row>
    <row r="8" spans="1:25" ht="15" customHeight="1" x14ac:dyDescent="0.5">
      <c r="A8" s="25">
        <v>7</v>
      </c>
      <c r="B8" s="25">
        <f t="shared" si="1"/>
        <v>5</v>
      </c>
      <c r="C8" s="26">
        <f t="shared" si="0"/>
        <v>45002</v>
      </c>
      <c r="D8" s="27">
        <v>13.5</v>
      </c>
      <c r="E8" s="27">
        <v>32.799999999999997</v>
      </c>
      <c r="F8" s="27">
        <v>23.5</v>
      </c>
      <c r="G8" s="28">
        <v>12.749999999999998</v>
      </c>
      <c r="H8" s="27">
        <v>123</v>
      </c>
      <c r="I8" s="29">
        <v>13.5</v>
      </c>
      <c r="J8" s="29">
        <f>IF(ISBLANK(E8),U$19,E8)</f>
        <v>32.799999999999997</v>
      </c>
      <c r="K8" s="29">
        <f>IF(ISBLANK(F8),U$20,F8)</f>
        <v>23.5</v>
      </c>
      <c r="L8" s="29">
        <f>IF(ISBLANK(G8),U$21,G8)</f>
        <v>12.749999999999998</v>
      </c>
      <c r="M8" s="29">
        <f>IF(ISBLANK(H8),VLOOKUP(B8,$O$1:$P$9,2,TRUE),H8)</f>
        <v>123</v>
      </c>
      <c r="O8" s="6">
        <v>7</v>
      </c>
      <c r="P8" s="3">
        <v>170.89285714285714</v>
      </c>
    </row>
    <row r="9" spans="1:25" ht="15" customHeight="1" x14ac:dyDescent="0.5">
      <c r="A9" s="25">
        <v>8</v>
      </c>
      <c r="B9" s="25">
        <f t="shared" si="1"/>
        <v>6</v>
      </c>
      <c r="C9" s="26">
        <f t="shared" si="0"/>
        <v>45003</v>
      </c>
      <c r="D9" s="27">
        <v>31.04</v>
      </c>
      <c r="E9" s="27">
        <v>19.600000000000001</v>
      </c>
      <c r="F9" s="27">
        <v>11.6</v>
      </c>
      <c r="G9" s="28">
        <v>17.18</v>
      </c>
      <c r="H9" s="27">
        <v>152</v>
      </c>
      <c r="I9" s="29">
        <v>31.04</v>
      </c>
      <c r="J9" s="29">
        <f>IF(ISBLANK(E9),U$19,E9)</f>
        <v>19.600000000000001</v>
      </c>
      <c r="K9" s="29">
        <f>IF(ISBLANK(F9),U$20,F9)</f>
        <v>11.6</v>
      </c>
      <c r="L9" s="29">
        <f>IF(ISBLANK(G9),U$21,G9)</f>
        <v>17.18</v>
      </c>
      <c r="M9" s="29">
        <f>IF(ISBLANK(H9),VLOOKUP(B9,$O$1:$P$9,2,TRUE),H9)</f>
        <v>152</v>
      </c>
      <c r="O9" s="6" t="s">
        <v>18</v>
      </c>
      <c r="P9" s="3">
        <v>154.12882653061226</v>
      </c>
    </row>
    <row r="10" spans="1:25" ht="15" customHeight="1" x14ac:dyDescent="0.5">
      <c r="A10" s="25">
        <v>9</v>
      </c>
      <c r="B10" s="25">
        <f t="shared" si="1"/>
        <v>7</v>
      </c>
      <c r="C10" s="26">
        <f t="shared" si="0"/>
        <v>45004</v>
      </c>
      <c r="D10" s="27">
        <v>9.7200000000000006</v>
      </c>
      <c r="E10" s="27">
        <v>2.1</v>
      </c>
      <c r="F10" s="27">
        <v>1</v>
      </c>
      <c r="G10" s="28">
        <v>1.5100000000000002</v>
      </c>
      <c r="H10" s="27">
        <v>54</v>
      </c>
      <c r="I10" s="29">
        <v>9.7200000000000006</v>
      </c>
      <c r="J10" s="29">
        <f>IF(ISBLANK(E10),U$19,E10)</f>
        <v>2.1</v>
      </c>
      <c r="K10" s="29">
        <f>IF(ISBLANK(F10),U$20,F10)</f>
        <v>1</v>
      </c>
      <c r="L10" s="29">
        <f>IF(ISBLANK(G10),U$21,G10)</f>
        <v>1.5100000000000002</v>
      </c>
      <c r="M10" s="29">
        <f>IF(ISBLANK(H10),VLOOKUP(B10,$O$1:$P$9,2,TRUE),H10)</f>
        <v>54</v>
      </c>
    </row>
    <row r="11" spans="1:25" ht="15" customHeight="1" x14ac:dyDescent="0.5">
      <c r="A11" s="25">
        <v>10</v>
      </c>
      <c r="B11" s="25">
        <f t="shared" si="1"/>
        <v>1</v>
      </c>
      <c r="C11" s="26">
        <f t="shared" si="0"/>
        <v>45005</v>
      </c>
      <c r="D11" s="27">
        <v>40.96</v>
      </c>
      <c r="E11" s="27">
        <v>2.6</v>
      </c>
      <c r="F11" s="27">
        <v>21.2</v>
      </c>
      <c r="G11" s="28">
        <v>12.8</v>
      </c>
      <c r="H11" s="27">
        <v>119</v>
      </c>
      <c r="I11" s="29">
        <v>40.96</v>
      </c>
      <c r="J11" s="29">
        <f>IF(ISBLANK(E11),U$19,E11)</f>
        <v>2.6</v>
      </c>
      <c r="K11" s="29">
        <f>IF(ISBLANK(F11),U$20,F11)</f>
        <v>21.2</v>
      </c>
      <c r="L11" s="29">
        <f>IF(ISBLANK(G11),U$21,G11)</f>
        <v>12.8</v>
      </c>
      <c r="M11" s="29">
        <f>IF(ISBLANK(H11),VLOOKUP(B11,$O$1:$P$9,2,TRUE),H11)</f>
        <v>119</v>
      </c>
    </row>
    <row r="12" spans="1:25" ht="15" customHeight="1" x14ac:dyDescent="0.5">
      <c r="A12" s="25">
        <v>11</v>
      </c>
      <c r="B12" s="25">
        <f t="shared" si="1"/>
        <v>2</v>
      </c>
      <c r="C12" s="26">
        <f t="shared" si="0"/>
        <v>45006</v>
      </c>
      <c r="D12" s="27">
        <v>23.22</v>
      </c>
      <c r="E12" s="27">
        <v>5.8</v>
      </c>
      <c r="F12" s="27">
        <v>24.2</v>
      </c>
      <c r="G12" s="28">
        <v>19.829999999999998</v>
      </c>
      <c r="H12" s="27">
        <v>95</v>
      </c>
      <c r="I12" s="29">
        <v>23.22</v>
      </c>
      <c r="J12" s="29">
        <f>IF(ISBLANK(E12),U$19,E12)</f>
        <v>5.8</v>
      </c>
      <c r="K12" s="29">
        <f>IF(ISBLANK(F12),U$20,F12)</f>
        <v>24.2</v>
      </c>
      <c r="L12" s="29">
        <f>IF(ISBLANK(G12),U$21,G12)</f>
        <v>19.829999999999998</v>
      </c>
      <c r="M12" s="29">
        <f>IF(ISBLANK(H12),VLOOKUP(B12,$O$1:$P$9,2,TRUE),H12)</f>
        <v>95</v>
      </c>
    </row>
    <row r="13" spans="1:25" ht="15" customHeight="1" x14ac:dyDescent="0.5">
      <c r="A13" s="25">
        <v>12</v>
      </c>
      <c r="B13" s="25">
        <f t="shared" si="1"/>
        <v>3</v>
      </c>
      <c r="C13" s="26">
        <f t="shared" si="0"/>
        <v>45007</v>
      </c>
      <c r="D13" s="27">
        <v>50.94</v>
      </c>
      <c r="E13" s="27">
        <v>24</v>
      </c>
      <c r="F13" s="27">
        <v>4</v>
      </c>
      <c r="G13" s="28">
        <v>31.869999999999997</v>
      </c>
      <c r="H13" s="27">
        <v>151.5</v>
      </c>
      <c r="I13" s="29">
        <v>50.94</v>
      </c>
      <c r="J13" s="29">
        <f>IF(ISBLANK(E13),U$19,E13)</f>
        <v>24</v>
      </c>
      <c r="K13" s="29">
        <f>IF(ISBLANK(F13),U$20,F13)</f>
        <v>4</v>
      </c>
      <c r="L13" s="29">
        <f>IF(ISBLANK(G13),U$21,G13)</f>
        <v>31.869999999999997</v>
      </c>
      <c r="M13" s="29">
        <f>IF(ISBLANK(H13),VLOOKUP(B13,$O$1:$P$9,2,TRUE),H13)</f>
        <v>151.5</v>
      </c>
    </row>
    <row r="14" spans="1:25" ht="15" customHeight="1" x14ac:dyDescent="0.5">
      <c r="A14" s="25">
        <v>13</v>
      </c>
      <c r="B14" s="25">
        <f t="shared" si="1"/>
        <v>4</v>
      </c>
      <c r="C14" s="26">
        <f t="shared" si="0"/>
        <v>45008</v>
      </c>
      <c r="D14" s="27">
        <v>10.76</v>
      </c>
      <c r="E14" s="27">
        <v>35.1</v>
      </c>
      <c r="F14" s="27">
        <v>65.900000000000006</v>
      </c>
      <c r="G14" s="28"/>
      <c r="H14" s="27">
        <v>95</v>
      </c>
      <c r="I14" s="29">
        <v>10.76</v>
      </c>
      <c r="J14" s="29">
        <f>IF(ISBLANK(E14),U$19,E14)</f>
        <v>35.1</v>
      </c>
      <c r="K14" s="29">
        <f>IF(ISBLANK(F14),U$20,F14)</f>
        <v>65.900000000000006</v>
      </c>
      <c r="L14" s="29">
        <f>IF(ISBLANK(G14),U$21,G14)</f>
        <v>17.100000000000001</v>
      </c>
      <c r="M14" s="29">
        <f>IF(ISBLANK(H14),VLOOKUP(B14,$O$1:$P$9,2,TRUE),H14)</f>
        <v>95</v>
      </c>
    </row>
    <row r="15" spans="1:25" ht="15.75" customHeight="1" thickBot="1" x14ac:dyDescent="0.55000000000000004">
      <c r="A15" s="25">
        <v>14</v>
      </c>
      <c r="B15" s="25">
        <f t="shared" si="1"/>
        <v>5</v>
      </c>
      <c r="C15" s="26">
        <f t="shared" si="0"/>
        <v>45009</v>
      </c>
      <c r="D15" s="27">
        <v>26.5</v>
      </c>
      <c r="E15" s="27">
        <v>7.6</v>
      </c>
      <c r="F15" s="27">
        <v>7.2</v>
      </c>
      <c r="G15" s="28"/>
      <c r="H15" s="27">
        <v>113</v>
      </c>
      <c r="I15" s="29">
        <v>26.5</v>
      </c>
      <c r="J15" s="29">
        <f>IF(ISBLANK(E15),U$19,E15)</f>
        <v>7.6</v>
      </c>
      <c r="K15" s="29">
        <f>IF(ISBLANK(F15),U$20,F15)</f>
        <v>7.2</v>
      </c>
      <c r="L15" s="29">
        <f>IF(ISBLANK(G15),U$21,G15)</f>
        <v>17.100000000000001</v>
      </c>
      <c r="M15" s="29">
        <f>IF(ISBLANK(H15),VLOOKUP(B15,$O$1:$P$9,2,TRUE),H15)</f>
        <v>113</v>
      </c>
    </row>
    <row r="16" spans="1:25" ht="24.4" customHeight="1" x14ac:dyDescent="0.65">
      <c r="A16" s="25">
        <v>15</v>
      </c>
      <c r="B16" s="25">
        <f t="shared" si="1"/>
        <v>6</v>
      </c>
      <c r="C16" s="26">
        <f t="shared" si="0"/>
        <v>45010</v>
      </c>
      <c r="D16" s="27">
        <v>44.82</v>
      </c>
      <c r="E16" s="27">
        <v>32.9</v>
      </c>
      <c r="F16" s="27">
        <v>46</v>
      </c>
      <c r="G16" s="28">
        <v>18.459999999999997</v>
      </c>
      <c r="H16" s="27">
        <v>191</v>
      </c>
      <c r="I16" s="29">
        <v>44.82</v>
      </c>
      <c r="J16" s="29">
        <f>IF(ISBLANK(E16),U$19,E16)</f>
        <v>32.9</v>
      </c>
      <c r="K16" s="29">
        <f>IF(ISBLANK(F16),U$20,F16)</f>
        <v>46</v>
      </c>
      <c r="L16" s="29">
        <f>IF(ISBLANK(G16),U$21,G16)</f>
        <v>18.459999999999997</v>
      </c>
      <c r="M16" s="29">
        <f>IF(ISBLANK(H16),VLOOKUP(B16,$O$1:$P$9,2,TRUE),H16)</f>
        <v>191</v>
      </c>
      <c r="N16" s="3"/>
      <c r="O16" s="38" t="s">
        <v>57</v>
      </c>
      <c r="P16" s="39"/>
      <c r="Q16" s="39"/>
      <c r="R16" s="39"/>
      <c r="S16" s="39"/>
      <c r="T16" s="39"/>
      <c r="U16" s="39"/>
      <c r="V16" s="39"/>
      <c r="W16" s="39"/>
      <c r="X16" s="39"/>
      <c r="Y16" s="40"/>
    </row>
    <row r="17" spans="1:25" ht="28.9" customHeight="1" x14ac:dyDescent="0.5">
      <c r="A17" s="25">
        <v>16</v>
      </c>
      <c r="B17" s="25">
        <f t="shared" si="1"/>
        <v>7</v>
      </c>
      <c r="C17" s="26">
        <f t="shared" si="0"/>
        <v>45011</v>
      </c>
      <c r="D17" s="27">
        <v>42.08</v>
      </c>
      <c r="E17" s="27">
        <v>47.7</v>
      </c>
      <c r="F17" s="27">
        <v>52.9</v>
      </c>
      <c r="G17" s="28">
        <v>22.23</v>
      </c>
      <c r="H17" s="27">
        <v>240</v>
      </c>
      <c r="I17" s="29">
        <v>42.08</v>
      </c>
      <c r="J17" s="29">
        <f>IF(ISBLANK(E17),U$19,E17)</f>
        <v>47.7</v>
      </c>
      <c r="K17" s="29">
        <f>IF(ISBLANK(F17),U$20,F17)</f>
        <v>52.9</v>
      </c>
      <c r="L17" s="29">
        <f>IF(ISBLANK(G17),U$21,G17)</f>
        <v>22.23</v>
      </c>
      <c r="M17" s="29">
        <f>IF(ISBLANK(H17),VLOOKUP(B17,$O$1:$P$9,2,TRUE),H17)</f>
        <v>240</v>
      </c>
      <c r="O17" s="41" t="s">
        <v>50</v>
      </c>
      <c r="P17" s="42" t="s">
        <v>48</v>
      </c>
      <c r="Q17" s="42" t="s">
        <v>51</v>
      </c>
      <c r="R17" s="42" t="s">
        <v>52</v>
      </c>
      <c r="S17" s="42" t="s">
        <v>53</v>
      </c>
      <c r="T17" s="42" t="s">
        <v>9</v>
      </c>
      <c r="U17" s="42" t="s">
        <v>10</v>
      </c>
      <c r="V17" s="42" t="s">
        <v>11</v>
      </c>
      <c r="W17" s="42" t="s">
        <v>58</v>
      </c>
      <c r="X17" s="42" t="s">
        <v>62</v>
      </c>
      <c r="Y17" s="43" t="s">
        <v>54</v>
      </c>
    </row>
    <row r="18" spans="1:25" ht="15.75" customHeight="1" x14ac:dyDescent="0.5">
      <c r="A18" s="25">
        <v>17</v>
      </c>
      <c r="B18" s="25">
        <f t="shared" si="1"/>
        <v>1</v>
      </c>
      <c r="C18" s="26">
        <f t="shared" si="0"/>
        <v>45012</v>
      </c>
      <c r="D18" s="27">
        <v>89.06</v>
      </c>
      <c r="E18" s="27">
        <v>36.6</v>
      </c>
      <c r="F18" s="27">
        <v>93.625</v>
      </c>
      <c r="G18" s="28">
        <v>23.379999999999995</v>
      </c>
      <c r="H18" s="27">
        <v>135</v>
      </c>
      <c r="I18" s="29">
        <v>89.06</v>
      </c>
      <c r="J18" s="29">
        <f>IF(ISBLANK(E18),U$19,E18)</f>
        <v>36.6</v>
      </c>
      <c r="K18" s="29">
        <f>IF(ISBLANK(F18),U$20,F18)</f>
        <v>93.625</v>
      </c>
      <c r="L18" s="29">
        <f>IF(ISBLANK(G18),U$21,G18)</f>
        <v>23.379999999999995</v>
      </c>
      <c r="M18" s="29">
        <f>IF(ISBLANK(H18),VLOOKUP(B18,$O$1:$P$9,2,TRUE),H18)</f>
        <v>135</v>
      </c>
      <c r="O18" s="44" t="s">
        <v>59</v>
      </c>
      <c r="P18" s="45">
        <f>COUNTBLANK(D2:D201)</f>
        <v>2</v>
      </c>
      <c r="Q18" s="45">
        <v>200</v>
      </c>
      <c r="R18" s="46">
        <f>P18/Q18</f>
        <v>0.01</v>
      </c>
      <c r="S18" s="45" t="s">
        <v>55</v>
      </c>
      <c r="T18" s="47">
        <f>AVERAGE(D2:D201)</f>
        <v>38.152159090909102</v>
      </c>
      <c r="U18" s="47">
        <f>MEDIAN(D2:D201)</f>
        <v>38.209999999999994</v>
      </c>
      <c r="V18" s="47">
        <f>_xlfn.STDEV.P(D2:D201)</f>
        <v>24.490734073745152</v>
      </c>
      <c r="W18" s="48">
        <f>V18/T18</f>
        <v>0.64192262396968258</v>
      </c>
      <c r="X18" s="49">
        <f>CORREL($D$1:$D$201,D1:D201)</f>
        <v>1</v>
      </c>
      <c r="Y18" s="50" t="s">
        <v>63</v>
      </c>
    </row>
    <row r="19" spans="1:25" ht="15.75" customHeight="1" x14ac:dyDescent="0.5">
      <c r="A19" s="25">
        <v>18</v>
      </c>
      <c r="B19" s="25">
        <f t="shared" si="1"/>
        <v>2</v>
      </c>
      <c r="C19" s="26">
        <f t="shared" si="0"/>
        <v>45013</v>
      </c>
      <c r="D19" s="27">
        <v>62.279999999999994</v>
      </c>
      <c r="E19" s="27">
        <v>39.6</v>
      </c>
      <c r="F19" s="27">
        <v>55.8</v>
      </c>
      <c r="G19" s="28">
        <v>25.619999999999997</v>
      </c>
      <c r="H19" s="27">
        <v>258</v>
      </c>
      <c r="I19" s="29">
        <v>62.279999999999994</v>
      </c>
      <c r="J19" s="29">
        <f>IF(ISBLANK(E19),U$19,E19)</f>
        <v>39.6</v>
      </c>
      <c r="K19" s="29">
        <f>IF(ISBLANK(F19),U$20,F19)</f>
        <v>55.8</v>
      </c>
      <c r="L19" s="29">
        <f>IF(ISBLANK(G19),U$21,G19)</f>
        <v>25.619999999999997</v>
      </c>
      <c r="M19" s="29">
        <f>IF(ISBLANK(H19),VLOOKUP(B19,$O$1:$P$9,2,TRUE),H19)</f>
        <v>258</v>
      </c>
      <c r="O19" s="44" t="s">
        <v>60</v>
      </c>
      <c r="P19" s="45">
        <f>COUNTBLANK(E2:E201)</f>
        <v>2</v>
      </c>
      <c r="Q19" s="45">
        <v>200</v>
      </c>
      <c r="R19" s="46">
        <f>P19/Q19</f>
        <v>0.01</v>
      </c>
      <c r="S19" s="45" t="s">
        <v>55</v>
      </c>
      <c r="T19" s="51">
        <f>AVERAGE(E2:E201)</f>
        <v>24.888888888888918</v>
      </c>
      <c r="U19" s="47">
        <f>MEDIAN(E2:E201)</f>
        <v>23.450000000000003</v>
      </c>
      <c r="V19" s="47">
        <f>_xlfn.STDEV.P(E2:E201)</f>
        <v>21.768482864916837</v>
      </c>
      <c r="W19" s="48">
        <f>V19/T19</f>
        <v>0.87462654367969339</v>
      </c>
      <c r="X19" s="49">
        <f>CORREL($D$1:$D$201,E1:E201)</f>
        <v>2.3906026151480617E-2</v>
      </c>
      <c r="Y19" s="50" t="s">
        <v>56</v>
      </c>
    </row>
    <row r="20" spans="1:25" ht="15.75" customHeight="1" x14ac:dyDescent="0.5">
      <c r="A20" s="25">
        <v>19</v>
      </c>
      <c r="B20" s="25">
        <f t="shared" si="1"/>
        <v>3</v>
      </c>
      <c r="C20" s="26">
        <f t="shared" si="0"/>
        <v>45014</v>
      </c>
      <c r="D20" s="27">
        <v>14.84</v>
      </c>
      <c r="E20" s="27">
        <v>20.5</v>
      </c>
      <c r="F20" s="27">
        <v>18.3</v>
      </c>
      <c r="G20" s="28">
        <v>9.8500000000000014</v>
      </c>
      <c r="H20" s="27">
        <v>127</v>
      </c>
      <c r="I20" s="29">
        <v>14.84</v>
      </c>
      <c r="J20" s="29">
        <f>IF(ISBLANK(E20),U$19,E20)</f>
        <v>20.5</v>
      </c>
      <c r="K20" s="29">
        <f>IF(ISBLANK(F20),U$20,F20)</f>
        <v>18.3</v>
      </c>
      <c r="L20" s="29">
        <f>IF(ISBLANK(G20),U$21,G20)</f>
        <v>9.8500000000000014</v>
      </c>
      <c r="M20" s="29">
        <f>IF(ISBLANK(H20),VLOOKUP(B20,$O$1:$P$9,2,TRUE),H20)</f>
        <v>127</v>
      </c>
      <c r="O20" s="44" t="s">
        <v>61</v>
      </c>
      <c r="P20" s="45">
        <f>COUNTBLANK(F2:F201)</f>
        <v>1</v>
      </c>
      <c r="Q20" s="45">
        <v>200</v>
      </c>
      <c r="R20" s="46">
        <f t="shared" ref="R19:R22" si="2">P20/Q20</f>
        <v>5.0000000000000001E-3</v>
      </c>
      <c r="S20" s="45" t="s">
        <v>55</v>
      </c>
      <c r="T20" s="51">
        <f>AVERAGE(F2:F201)</f>
        <v>30.439949748743715</v>
      </c>
      <c r="U20" s="51">
        <f>MEDIAN(F2:F201)</f>
        <v>25.9</v>
      </c>
      <c r="V20" s="51">
        <f>_xlfn.STDEV.P(F2:F201)</f>
        <v>21.31415337087244</v>
      </c>
      <c r="W20" s="48">
        <f t="shared" ref="W20:W22" si="3">V20/T20</f>
        <v>0.70020330344836046</v>
      </c>
      <c r="X20" s="49">
        <f>CORREL($D$1:$D$201,F1:F201)</f>
        <v>2.1325368926873211E-2</v>
      </c>
      <c r="Y20" s="50" t="s">
        <v>56</v>
      </c>
    </row>
    <row r="21" spans="1:25" ht="15.75" customHeight="1" x14ac:dyDescent="0.5">
      <c r="A21" s="25">
        <v>20</v>
      </c>
      <c r="B21" s="25">
        <f t="shared" si="1"/>
        <v>4</v>
      </c>
      <c r="C21" s="26">
        <f t="shared" si="0"/>
        <v>45015</v>
      </c>
      <c r="D21" s="27">
        <v>32.46</v>
      </c>
      <c r="E21" s="27">
        <v>23.9</v>
      </c>
      <c r="F21" s="27">
        <v>19.100000000000001</v>
      </c>
      <c r="G21" s="28">
        <v>19.04</v>
      </c>
      <c r="H21" s="27">
        <v>148</v>
      </c>
      <c r="I21" s="29">
        <v>32.46</v>
      </c>
      <c r="J21" s="29">
        <f>IF(ISBLANK(E21),U$19,E21)</f>
        <v>23.9</v>
      </c>
      <c r="K21" s="29">
        <f>IF(ISBLANK(F21),U$20,F21)</f>
        <v>19.100000000000001</v>
      </c>
      <c r="L21" s="29">
        <f>IF(ISBLANK(G21),U$21,G21)</f>
        <v>19.04</v>
      </c>
      <c r="M21" s="29">
        <f>IF(ISBLANK(H21),VLOOKUP(B21,$O$1:$P$9,2,TRUE),H21)</f>
        <v>148</v>
      </c>
      <c r="O21" s="44" t="s">
        <v>8</v>
      </c>
      <c r="P21" s="45">
        <f>COUNTBLANK(G2:G201)</f>
        <v>3</v>
      </c>
      <c r="Q21" s="45">
        <v>200</v>
      </c>
      <c r="R21" s="46">
        <f>P21/Q21</f>
        <v>1.4999999999999999E-2</v>
      </c>
      <c r="S21" s="45" t="s">
        <v>55</v>
      </c>
      <c r="T21" s="51">
        <f>AVERAGE(G2:G201)</f>
        <v>18.896719543147213</v>
      </c>
      <c r="U21" s="51">
        <f>MEDIAN(G2:G201)</f>
        <v>17.100000000000001</v>
      </c>
      <c r="V21" s="51">
        <f>_xlfn.STDEV.P(G2:G201)</f>
        <v>13.884585145596391</v>
      </c>
      <c r="W21" s="48">
        <f>V21/T21</f>
        <v>0.7347616666423753</v>
      </c>
      <c r="X21" s="49">
        <f>CORREL($D$1:$D$201,G1:G201)</f>
        <v>0.21036584628071642</v>
      </c>
      <c r="Y21" s="50" t="s">
        <v>56</v>
      </c>
    </row>
    <row r="22" spans="1:25" ht="15.75" customHeight="1" thickBot="1" x14ac:dyDescent="0.55000000000000004">
      <c r="A22" s="25">
        <v>21</v>
      </c>
      <c r="B22" s="25">
        <f t="shared" si="1"/>
        <v>5</v>
      </c>
      <c r="C22" s="26">
        <f t="shared" si="0"/>
        <v>45016</v>
      </c>
      <c r="D22" s="27">
        <v>46.68</v>
      </c>
      <c r="E22" s="27">
        <v>27.7</v>
      </c>
      <c r="F22" s="27">
        <v>53.4</v>
      </c>
      <c r="G22" s="28">
        <v>14.329999999999998</v>
      </c>
      <c r="H22" s="27">
        <v>188</v>
      </c>
      <c r="I22" s="29">
        <v>46.68</v>
      </c>
      <c r="J22" s="29">
        <f>IF(ISBLANK(E22),U$19,E22)</f>
        <v>27.7</v>
      </c>
      <c r="K22" s="29">
        <f>IF(ISBLANK(F22),U$20,F22)</f>
        <v>53.4</v>
      </c>
      <c r="L22" s="29">
        <f>IF(ISBLANK(G22),U$21,G22)</f>
        <v>14.329999999999998</v>
      </c>
      <c r="M22" s="29">
        <f>IF(ISBLANK(H22),VLOOKUP(B22,$O$1:$P$9,2,TRUE),H22)</f>
        <v>188</v>
      </c>
      <c r="O22" s="52" t="s">
        <v>5</v>
      </c>
      <c r="P22" s="53">
        <f>COUNTBLANK(H2:H201)</f>
        <v>4</v>
      </c>
      <c r="Q22" s="53">
        <v>200</v>
      </c>
      <c r="R22" s="54">
        <f t="shared" si="2"/>
        <v>0.02</v>
      </c>
      <c r="S22" s="53" t="s">
        <v>55</v>
      </c>
      <c r="T22" s="55">
        <f>AVERAGE(H2:H201)</f>
        <v>154.12882653061226</v>
      </c>
      <c r="U22" s="55">
        <f>MEDIAN(H2:H201)</f>
        <v>139</v>
      </c>
      <c r="V22" s="55">
        <f>_xlfn.STDEV.P(H2:H201)</f>
        <v>70.42850114565104</v>
      </c>
      <c r="W22" s="56">
        <f t="shared" si="3"/>
        <v>0.45694567804720748</v>
      </c>
      <c r="X22" s="49">
        <f>CORREL($D$1:$D$201,H1:H201)</f>
        <v>0.39040997791206128</v>
      </c>
      <c r="Y22" s="57" t="s">
        <v>65</v>
      </c>
    </row>
    <row r="23" spans="1:25" ht="15.75" customHeight="1" x14ac:dyDescent="0.5">
      <c r="A23" s="25">
        <v>22</v>
      </c>
      <c r="B23" s="25">
        <f t="shared" si="1"/>
        <v>6</v>
      </c>
      <c r="C23" s="26">
        <f t="shared" si="0"/>
        <v>45017</v>
      </c>
      <c r="D23" s="27">
        <v>48.480000000000004</v>
      </c>
      <c r="E23" s="27">
        <v>123</v>
      </c>
      <c r="F23" s="27">
        <v>23.5</v>
      </c>
      <c r="G23" s="28">
        <v>16.89</v>
      </c>
      <c r="H23" s="27">
        <v>127</v>
      </c>
      <c r="I23" s="29">
        <v>48.480000000000004</v>
      </c>
      <c r="J23" s="29">
        <f>IF(ISBLANK(E23),U$19,E23)</f>
        <v>123</v>
      </c>
      <c r="K23" s="29">
        <f>IF(ISBLANK(F23),U$20,F23)</f>
        <v>23.5</v>
      </c>
      <c r="L23" s="29">
        <f>IF(ISBLANK(G23),U$21,G23)</f>
        <v>16.89</v>
      </c>
      <c r="M23" s="29">
        <f>IF(ISBLANK(H23),VLOOKUP(B23,$O$1:$P$9,2,TRUE),H23)</f>
        <v>127</v>
      </c>
      <c r="O23" s="19"/>
      <c r="P23" s="19"/>
      <c r="Q23" s="19"/>
      <c r="R23" s="19"/>
      <c r="S23" s="19"/>
      <c r="T23" s="19"/>
    </row>
    <row r="24" spans="1:25" ht="15.75" customHeight="1" x14ac:dyDescent="0.5">
      <c r="A24" s="25">
        <v>23</v>
      </c>
      <c r="B24" s="25">
        <f t="shared" si="1"/>
        <v>7</v>
      </c>
      <c r="C24" s="26">
        <f t="shared" si="0"/>
        <v>45018</v>
      </c>
      <c r="D24" s="27">
        <v>11.64</v>
      </c>
      <c r="E24" s="27">
        <v>15.9</v>
      </c>
      <c r="F24" s="27">
        <v>49.6</v>
      </c>
      <c r="G24" s="28">
        <v>9.4299999999999962</v>
      </c>
      <c r="H24" s="27"/>
      <c r="I24" s="29">
        <v>11.64</v>
      </c>
      <c r="J24" s="29">
        <f>IF(ISBLANK(E24),U$19,E24)</f>
        <v>15.9</v>
      </c>
      <c r="K24" s="29">
        <f>IF(ISBLANK(F24),U$20,F24)</f>
        <v>49.6</v>
      </c>
      <c r="L24" s="29">
        <f>IF(ISBLANK(G24),U$21,G24)</f>
        <v>9.4299999999999962</v>
      </c>
      <c r="M24" s="29">
        <f>IF(ISBLANK(H24),VLOOKUP(B24,$O$1:$P$9,2,TRUE),H24)</f>
        <v>170.89285714285714</v>
      </c>
      <c r="O24" s="20"/>
      <c r="P24" s="20"/>
      <c r="Q24" s="20"/>
      <c r="R24" s="21"/>
      <c r="S24" s="20"/>
      <c r="T24" s="20"/>
    </row>
    <row r="25" spans="1:25" ht="15.75" customHeight="1" x14ac:dyDescent="0.5">
      <c r="A25" s="25">
        <v>24</v>
      </c>
      <c r="B25" s="25">
        <f t="shared" si="1"/>
        <v>1</v>
      </c>
      <c r="C25" s="26">
        <f t="shared" si="0"/>
        <v>45019</v>
      </c>
      <c r="D25" s="27">
        <v>49.660000000000004</v>
      </c>
      <c r="E25" s="27">
        <v>16.899999999999999</v>
      </c>
      <c r="F25" s="27">
        <v>26.2</v>
      </c>
      <c r="G25" s="28">
        <v>20.8</v>
      </c>
      <c r="H25" s="27">
        <v>175</v>
      </c>
      <c r="I25" s="29">
        <v>49.660000000000004</v>
      </c>
      <c r="J25" s="29">
        <f>IF(ISBLANK(E25),U$19,E25)</f>
        <v>16.899999999999999</v>
      </c>
      <c r="K25" s="29">
        <f>IF(ISBLANK(F25),U$20,F25)</f>
        <v>26.2</v>
      </c>
      <c r="L25" s="29">
        <f>IF(ISBLANK(G25),U$21,G25)</f>
        <v>20.8</v>
      </c>
      <c r="M25" s="29">
        <f>IF(ISBLANK(H25),VLOOKUP(B25,$O$1:$P$9,2,TRUE),H25)</f>
        <v>175</v>
      </c>
      <c r="O25" s="20"/>
      <c r="P25" s="20"/>
      <c r="Q25" s="20"/>
      <c r="R25" s="21"/>
      <c r="S25" s="20"/>
      <c r="T25" s="20"/>
    </row>
    <row r="26" spans="1:25" ht="15.75" customHeight="1" x14ac:dyDescent="0.5">
      <c r="A26" s="25">
        <v>25</v>
      </c>
      <c r="B26" s="25">
        <f t="shared" si="1"/>
        <v>2</v>
      </c>
      <c r="C26" s="26">
        <f t="shared" si="0"/>
        <v>45020</v>
      </c>
      <c r="D26" s="27">
        <v>20.46</v>
      </c>
      <c r="E26" s="27">
        <v>12.6</v>
      </c>
      <c r="F26" s="27">
        <v>18.3</v>
      </c>
      <c r="G26" s="28">
        <v>5.2099999999999991</v>
      </c>
      <c r="H26" s="27">
        <v>110</v>
      </c>
      <c r="I26" s="29">
        <v>20.46</v>
      </c>
      <c r="J26" s="29">
        <f>IF(ISBLANK(E26),U$19,E26)</f>
        <v>12.6</v>
      </c>
      <c r="K26" s="29">
        <f>IF(ISBLANK(F26),U$20,F26)</f>
        <v>18.3</v>
      </c>
      <c r="L26" s="29">
        <f>IF(ISBLANK(G26),U$21,G26)</f>
        <v>5.2099999999999991</v>
      </c>
      <c r="M26" s="29">
        <f>IF(ISBLANK(H26),VLOOKUP(B26,$O$1:$P$9,2,TRUE),H26)</f>
        <v>110</v>
      </c>
      <c r="O26" s="20"/>
      <c r="P26" s="20"/>
      <c r="Q26" s="20"/>
      <c r="R26" s="21"/>
      <c r="S26" s="20"/>
      <c r="T26" s="20"/>
    </row>
    <row r="27" spans="1:25" ht="15.75" customHeight="1" x14ac:dyDescent="0.5">
      <c r="A27" s="25">
        <v>26</v>
      </c>
      <c r="B27" s="25">
        <f t="shared" si="1"/>
        <v>3</v>
      </c>
      <c r="C27" s="26">
        <f t="shared" si="0"/>
        <v>45021</v>
      </c>
      <c r="D27" s="27">
        <v>59.58</v>
      </c>
      <c r="E27" s="27">
        <v>3.5</v>
      </c>
      <c r="F27" s="27">
        <v>19.5</v>
      </c>
      <c r="G27" s="28">
        <v>20.239999999999998</v>
      </c>
      <c r="H27" s="27">
        <v>139</v>
      </c>
      <c r="I27" s="29">
        <v>59.58</v>
      </c>
      <c r="J27" s="29">
        <f>IF(ISBLANK(E27),U$19,E27)</f>
        <v>3.5</v>
      </c>
      <c r="K27" s="29">
        <f>IF(ISBLANK(F27),U$20,F27)</f>
        <v>19.5</v>
      </c>
      <c r="L27" s="29">
        <f>IF(ISBLANK(G27),U$21,G27)</f>
        <v>20.239999999999998</v>
      </c>
      <c r="M27" s="29">
        <f>IF(ISBLANK(H27),VLOOKUP(B27,$O$1:$P$9,2,TRUE),H27)</f>
        <v>139</v>
      </c>
      <c r="O27" s="20"/>
      <c r="P27" s="20"/>
      <c r="Q27" s="20"/>
      <c r="R27" s="21"/>
      <c r="S27" s="20"/>
      <c r="T27" s="20"/>
    </row>
    <row r="28" spans="1:25" ht="15.75" customHeight="1" x14ac:dyDescent="0.5">
      <c r="A28" s="25">
        <v>27</v>
      </c>
      <c r="B28" s="25">
        <f t="shared" si="1"/>
        <v>4</v>
      </c>
      <c r="C28" s="26">
        <f t="shared" si="0"/>
        <v>45022</v>
      </c>
      <c r="D28" s="27">
        <v>38.58</v>
      </c>
      <c r="E28" s="27">
        <v>29.3</v>
      </c>
      <c r="F28" s="27">
        <v>12.6</v>
      </c>
      <c r="G28" s="28">
        <v>23.900000000000002</v>
      </c>
      <c r="H28" s="27">
        <v>167</v>
      </c>
      <c r="I28" s="29">
        <v>38.58</v>
      </c>
      <c r="J28" s="29">
        <f>IF(ISBLANK(E28),U$19,E28)</f>
        <v>29.3</v>
      </c>
      <c r="K28" s="29">
        <f>IF(ISBLANK(F28),U$20,F28)</f>
        <v>12.6</v>
      </c>
      <c r="L28" s="29">
        <f>IF(ISBLANK(G28),U$21,G28)</f>
        <v>23.900000000000002</v>
      </c>
      <c r="M28" s="29">
        <f>IF(ISBLANK(H28),VLOOKUP(B28,$O$1:$P$9,2,TRUE),H28)</f>
        <v>167</v>
      </c>
      <c r="O28" s="20"/>
      <c r="P28" s="20"/>
      <c r="Q28" s="20"/>
      <c r="R28" s="21"/>
      <c r="S28" s="20"/>
      <c r="T28" s="20"/>
    </row>
    <row r="29" spans="1:25" ht="15.75" customHeight="1" x14ac:dyDescent="0.5">
      <c r="A29" s="25">
        <v>28</v>
      </c>
      <c r="B29" s="25">
        <f t="shared" si="1"/>
        <v>5</v>
      </c>
      <c r="C29" s="26">
        <f t="shared" si="0"/>
        <v>45023</v>
      </c>
      <c r="D29" s="27">
        <v>49.019999999999996</v>
      </c>
      <c r="E29" s="27">
        <v>16.7</v>
      </c>
      <c r="F29" s="27">
        <v>22.9</v>
      </c>
      <c r="G29" s="28">
        <v>23.2</v>
      </c>
      <c r="H29" s="27">
        <v>168</v>
      </c>
      <c r="I29" s="29">
        <v>49.019999999999996</v>
      </c>
      <c r="J29" s="29">
        <f>IF(ISBLANK(E29),U$19,E29)</f>
        <v>16.7</v>
      </c>
      <c r="K29" s="29">
        <f>IF(ISBLANK(F29),U$20,F29)</f>
        <v>22.9</v>
      </c>
      <c r="L29" s="29">
        <f>IF(ISBLANK(G29),U$21,G29)</f>
        <v>23.2</v>
      </c>
      <c r="M29" s="29">
        <f>IF(ISBLANK(H29),VLOOKUP(B29,$O$1:$P$9,2,TRUE),H29)</f>
        <v>168</v>
      </c>
    </row>
    <row r="30" spans="1:25" ht="15.75" customHeight="1" x14ac:dyDescent="0.5">
      <c r="A30" s="25">
        <v>29</v>
      </c>
      <c r="B30" s="25">
        <f t="shared" si="1"/>
        <v>6</v>
      </c>
      <c r="C30" s="26">
        <f t="shared" si="0"/>
        <v>45024</v>
      </c>
      <c r="D30" s="27">
        <v>52.760000000000005</v>
      </c>
      <c r="E30" s="27">
        <v>27.1</v>
      </c>
      <c r="F30" s="27">
        <v>22.9</v>
      </c>
      <c r="G30" s="28">
        <v>29.270000000000007</v>
      </c>
      <c r="H30" s="27">
        <v>199</v>
      </c>
      <c r="I30" s="29">
        <v>52.760000000000005</v>
      </c>
      <c r="J30" s="29">
        <f>IF(ISBLANK(E30),U$19,E30)</f>
        <v>27.1</v>
      </c>
      <c r="K30" s="29">
        <f>IF(ISBLANK(F30),U$20,F30)</f>
        <v>22.9</v>
      </c>
      <c r="L30" s="29">
        <f>IF(ISBLANK(G30),U$21,G30)</f>
        <v>29.270000000000007</v>
      </c>
      <c r="M30" s="29">
        <f>IF(ISBLANK(H30),VLOOKUP(B30,$O$1:$P$9,2,TRUE),H30)</f>
        <v>199</v>
      </c>
    </row>
    <row r="31" spans="1:25" ht="15.75" customHeight="1" x14ac:dyDescent="0.5">
      <c r="A31" s="25">
        <v>30</v>
      </c>
      <c r="B31" s="25">
        <f t="shared" si="1"/>
        <v>7</v>
      </c>
      <c r="C31" s="26">
        <f t="shared" si="0"/>
        <v>45025</v>
      </c>
      <c r="D31" s="27">
        <v>15.12</v>
      </c>
      <c r="E31" s="27">
        <v>16</v>
      </c>
      <c r="F31" s="27">
        <v>40.799999999999997</v>
      </c>
      <c r="G31" s="28">
        <v>18.739999999999998</v>
      </c>
      <c r="H31" s="27">
        <v>123</v>
      </c>
      <c r="I31" s="29">
        <v>15.12</v>
      </c>
      <c r="J31" s="29">
        <f>IF(ISBLANK(E31),U$19,E31)</f>
        <v>16</v>
      </c>
      <c r="K31" s="29">
        <f>IF(ISBLANK(F31),U$20,F31)</f>
        <v>40.799999999999997</v>
      </c>
      <c r="L31" s="29">
        <f>IF(ISBLANK(G31),U$21,G31)</f>
        <v>18.739999999999998</v>
      </c>
      <c r="M31" s="29">
        <f>IF(ISBLANK(H31),VLOOKUP(B31,$O$1:$P$9,2,TRUE),H31)</f>
        <v>123</v>
      </c>
    </row>
    <row r="32" spans="1:25" ht="15.75" customHeight="1" x14ac:dyDescent="0.5">
      <c r="A32" s="25">
        <v>31</v>
      </c>
      <c r="B32" s="25">
        <f t="shared" si="1"/>
        <v>1</v>
      </c>
      <c r="C32" s="26">
        <f t="shared" si="0"/>
        <v>45026</v>
      </c>
      <c r="D32" s="27">
        <v>59.58</v>
      </c>
      <c r="E32" s="27">
        <v>28.3</v>
      </c>
      <c r="F32" s="27">
        <v>43.2</v>
      </c>
      <c r="G32" s="28">
        <v>26.159999999999997</v>
      </c>
      <c r="H32" s="27">
        <v>231</v>
      </c>
      <c r="I32" s="29">
        <v>59.58</v>
      </c>
      <c r="J32" s="29">
        <f>IF(ISBLANK(E32),U$19,E32)</f>
        <v>28.3</v>
      </c>
      <c r="K32" s="29">
        <f>IF(ISBLANK(F32),U$20,F32)</f>
        <v>43.2</v>
      </c>
      <c r="L32" s="29">
        <f>IF(ISBLANK(G32),U$21,G32)</f>
        <v>26.159999999999997</v>
      </c>
      <c r="M32" s="29">
        <f>IF(ISBLANK(H32),VLOOKUP(B32,$O$1:$P$9,2,TRUE),H32)</f>
        <v>231</v>
      </c>
    </row>
    <row r="33" spans="1:20" ht="15.75" customHeight="1" x14ac:dyDescent="0.5">
      <c r="A33" s="25">
        <v>32</v>
      </c>
      <c r="B33" s="25">
        <f t="shared" si="1"/>
        <v>2</v>
      </c>
      <c r="C33" s="26">
        <f t="shared" si="0"/>
        <v>45027</v>
      </c>
      <c r="D33" s="27">
        <v>92.987500000000011</v>
      </c>
      <c r="E33" s="27">
        <v>17.399999999999999</v>
      </c>
      <c r="F33" s="27">
        <v>38.6</v>
      </c>
      <c r="G33" s="28">
        <v>37.253750000000011</v>
      </c>
      <c r="H33" s="27">
        <v>126</v>
      </c>
      <c r="I33" s="29">
        <v>92.987500000000011</v>
      </c>
      <c r="J33" s="29">
        <f>IF(ISBLANK(E33),U$19,E33)</f>
        <v>17.399999999999999</v>
      </c>
      <c r="K33" s="29">
        <f>IF(ISBLANK(F33),U$20,F33)</f>
        <v>38.6</v>
      </c>
      <c r="L33" s="29">
        <f>IF(ISBLANK(G33),U$21,G33)</f>
        <v>37.253750000000011</v>
      </c>
      <c r="M33" s="29">
        <f>IF(ISBLANK(H33),VLOOKUP(B33,$O$1:$P$9,2,TRUE),H33)</f>
        <v>126</v>
      </c>
      <c r="O33" s="19"/>
      <c r="P33" s="19"/>
      <c r="Q33" s="19"/>
      <c r="R33" s="19"/>
      <c r="S33" s="19"/>
      <c r="T33" s="19"/>
    </row>
    <row r="34" spans="1:20" ht="15.75" customHeight="1" x14ac:dyDescent="0.5">
      <c r="A34" s="25">
        <v>33</v>
      </c>
      <c r="B34" s="25">
        <f t="shared" si="1"/>
        <v>3</v>
      </c>
      <c r="C34" s="26">
        <f t="shared" si="0"/>
        <v>45028</v>
      </c>
      <c r="D34" s="27">
        <v>20.440000000000001</v>
      </c>
      <c r="E34" s="27">
        <v>1.5</v>
      </c>
      <c r="F34" s="27">
        <v>30</v>
      </c>
      <c r="G34" s="28">
        <v>18.47</v>
      </c>
      <c r="H34" s="27">
        <v>112</v>
      </c>
      <c r="I34" s="29">
        <v>20.440000000000001</v>
      </c>
      <c r="J34" s="29">
        <f>IF(ISBLANK(E34),U$19,E34)</f>
        <v>1.5</v>
      </c>
      <c r="K34" s="29">
        <f>IF(ISBLANK(F34),U$20,F34)</f>
        <v>30</v>
      </c>
      <c r="L34" s="29">
        <f>IF(ISBLANK(G34),U$21,G34)</f>
        <v>18.47</v>
      </c>
      <c r="M34" s="29">
        <f>IF(ISBLANK(H34),VLOOKUP(B34,$O$1:$P$9,2,TRUE),H34)</f>
        <v>112</v>
      </c>
      <c r="O34" s="20"/>
      <c r="P34" s="20"/>
      <c r="Q34" s="20"/>
      <c r="R34" s="21"/>
      <c r="S34" s="20"/>
      <c r="T34" s="20"/>
    </row>
    <row r="35" spans="1:20" ht="15.75" customHeight="1" x14ac:dyDescent="0.5">
      <c r="A35" s="25">
        <v>34</v>
      </c>
      <c r="B35" s="25">
        <f t="shared" si="1"/>
        <v>4</v>
      </c>
      <c r="C35" s="26">
        <f t="shared" si="0"/>
        <v>45029</v>
      </c>
      <c r="D35" s="27">
        <v>61.120000000000005</v>
      </c>
      <c r="E35" s="27">
        <v>20</v>
      </c>
      <c r="F35" s="27">
        <v>0.3</v>
      </c>
      <c r="G35" s="28">
        <v>36.440000000000005</v>
      </c>
      <c r="H35" s="27">
        <v>184</v>
      </c>
      <c r="I35" s="29">
        <v>61.120000000000005</v>
      </c>
      <c r="J35" s="29">
        <f>IF(ISBLANK(E35),U$19,E35)</f>
        <v>20</v>
      </c>
      <c r="K35" s="29">
        <f>IF(ISBLANK(F35),U$20,F35)</f>
        <v>0.3</v>
      </c>
      <c r="L35" s="29">
        <f>IF(ISBLANK(G35),U$21,G35)</f>
        <v>36.440000000000005</v>
      </c>
      <c r="M35" s="29">
        <f>IF(ISBLANK(H35),VLOOKUP(B35,$O$1:$P$9,2,TRUE),H35)</f>
        <v>184</v>
      </c>
      <c r="O35" s="20"/>
      <c r="P35" s="20"/>
      <c r="Q35" s="20"/>
      <c r="R35" s="21"/>
      <c r="S35" s="20"/>
      <c r="T35" s="20"/>
    </row>
    <row r="36" spans="1:20" ht="15.75" customHeight="1" x14ac:dyDescent="0.5">
      <c r="A36" s="25">
        <v>35</v>
      </c>
      <c r="B36" s="25">
        <f t="shared" si="1"/>
        <v>5</v>
      </c>
      <c r="C36" s="26">
        <f t="shared" si="0"/>
        <v>45030</v>
      </c>
      <c r="D36" s="27">
        <v>24.14</v>
      </c>
      <c r="E36" s="27">
        <v>1.4</v>
      </c>
      <c r="F36" s="27">
        <v>7.4</v>
      </c>
      <c r="G36" s="28">
        <v>7.3099999999999987</v>
      </c>
      <c r="H36" s="27">
        <v>91.5</v>
      </c>
      <c r="I36" s="29">
        <v>24.14</v>
      </c>
      <c r="J36" s="29">
        <f>IF(ISBLANK(E36),U$19,E36)</f>
        <v>1.4</v>
      </c>
      <c r="K36" s="29">
        <f>IF(ISBLANK(F36),U$20,F36)</f>
        <v>7.4</v>
      </c>
      <c r="L36" s="29">
        <f>IF(ISBLANK(G36),U$21,G36)</f>
        <v>7.3099999999999987</v>
      </c>
      <c r="M36" s="29">
        <f>IF(ISBLANK(H36),VLOOKUP(B36,$O$1:$P$9,2,TRUE),H36)</f>
        <v>91.5</v>
      </c>
      <c r="O36" s="20"/>
      <c r="P36" s="20"/>
      <c r="Q36" s="20"/>
      <c r="R36" s="21"/>
      <c r="S36" s="20"/>
      <c r="T36" s="20"/>
    </row>
    <row r="37" spans="1:20" ht="15.75" customHeight="1" x14ac:dyDescent="0.5">
      <c r="A37" s="25">
        <v>36</v>
      </c>
      <c r="B37" s="25">
        <f t="shared" si="1"/>
        <v>6</v>
      </c>
      <c r="C37" s="26">
        <f t="shared" si="0"/>
        <v>45031</v>
      </c>
      <c r="D37" s="27">
        <v>62.14</v>
      </c>
      <c r="E37" s="27">
        <v>4.0999999999999996</v>
      </c>
      <c r="F37" s="27">
        <v>8.5</v>
      </c>
      <c r="G37" s="28">
        <v>27.72</v>
      </c>
      <c r="H37" s="27">
        <v>129</v>
      </c>
      <c r="I37" s="29">
        <v>62.14</v>
      </c>
      <c r="J37" s="29">
        <f>IF(ISBLANK(E37),U$19,E37)</f>
        <v>4.0999999999999996</v>
      </c>
      <c r="K37" s="29">
        <f>IF(ISBLANK(F37),U$20,F37)</f>
        <v>8.5</v>
      </c>
      <c r="L37" s="29">
        <f>IF(ISBLANK(G37),U$21,G37)</f>
        <v>27.72</v>
      </c>
      <c r="M37" s="29">
        <f>IF(ISBLANK(H37),VLOOKUP(B37,$O$1:$P$9,2,TRUE),H37)</f>
        <v>129</v>
      </c>
      <c r="O37" s="20"/>
      <c r="P37" s="20"/>
      <c r="Q37" s="20"/>
      <c r="R37" s="21"/>
      <c r="S37" s="20"/>
      <c r="T37" s="20"/>
    </row>
    <row r="38" spans="1:20" ht="15.75" customHeight="1" x14ac:dyDescent="0.5">
      <c r="A38" s="25">
        <v>37</v>
      </c>
      <c r="B38" s="25">
        <f t="shared" si="1"/>
        <v>7</v>
      </c>
      <c r="C38" s="26">
        <f t="shared" si="0"/>
        <v>45032</v>
      </c>
      <c r="D38" s="27">
        <v>56.379999999999995</v>
      </c>
      <c r="E38" s="27">
        <v>43.8</v>
      </c>
      <c r="F38" s="27">
        <v>5</v>
      </c>
      <c r="G38" s="28">
        <v>46.589999999999996</v>
      </c>
      <c r="H38" s="27">
        <v>256</v>
      </c>
      <c r="I38" s="29">
        <v>56.379999999999995</v>
      </c>
      <c r="J38" s="29">
        <f>IF(ISBLANK(E38),U$19,E38)</f>
        <v>43.8</v>
      </c>
      <c r="K38" s="29">
        <f>IF(ISBLANK(F38),U$20,F38)</f>
        <v>5</v>
      </c>
      <c r="L38" s="29">
        <f>IF(ISBLANK(G38),U$21,G38)</f>
        <v>46.589999999999996</v>
      </c>
      <c r="M38" s="29">
        <f>IF(ISBLANK(H38),VLOOKUP(B38,$O$1:$P$9,2,TRUE),H38)</f>
        <v>256</v>
      </c>
      <c r="O38" s="20"/>
      <c r="P38" s="20"/>
      <c r="Q38" s="20"/>
      <c r="R38" s="21"/>
      <c r="S38" s="20"/>
      <c r="T38" s="20"/>
    </row>
    <row r="39" spans="1:20" ht="15.75" customHeight="1" x14ac:dyDescent="0.5">
      <c r="A39" s="25">
        <v>38</v>
      </c>
      <c r="B39" s="25">
        <f t="shared" si="1"/>
        <v>1</v>
      </c>
      <c r="C39" s="26">
        <f t="shared" si="0"/>
        <v>45033</v>
      </c>
      <c r="D39" s="27">
        <v>24.94</v>
      </c>
      <c r="E39" s="27">
        <v>49.4</v>
      </c>
      <c r="F39" s="27">
        <v>45.7</v>
      </c>
      <c r="G39" s="28">
        <v>13.89</v>
      </c>
      <c r="H39" s="27">
        <v>152</v>
      </c>
      <c r="I39" s="29">
        <v>24.94</v>
      </c>
      <c r="J39" s="29">
        <f>IF(ISBLANK(E39),U$19,E39)</f>
        <v>49.4</v>
      </c>
      <c r="K39" s="29">
        <f>IF(ISBLANK(F39),U$20,F39)</f>
        <v>45.7</v>
      </c>
      <c r="L39" s="29">
        <f>IF(ISBLANK(G39),U$21,G39)</f>
        <v>13.89</v>
      </c>
      <c r="M39" s="29">
        <f>IF(ISBLANK(H39),VLOOKUP(B39,$O$1:$P$9,2,TRUE),H39)</f>
        <v>152</v>
      </c>
    </row>
    <row r="40" spans="1:20" ht="15.75" customHeight="1" x14ac:dyDescent="0.5">
      <c r="A40" s="25">
        <v>39</v>
      </c>
      <c r="B40" s="25">
        <f t="shared" si="1"/>
        <v>2</v>
      </c>
      <c r="C40" s="26">
        <f t="shared" si="0"/>
        <v>45034</v>
      </c>
      <c r="D40" s="27">
        <v>14.620000000000001</v>
      </c>
      <c r="E40" s="27">
        <v>26.7</v>
      </c>
      <c r="F40" s="27">
        <v>35.1</v>
      </c>
      <c r="G40" s="28">
        <v>3.6199999999999992</v>
      </c>
      <c r="H40" s="27">
        <v>114</v>
      </c>
      <c r="I40" s="29">
        <v>14.620000000000001</v>
      </c>
      <c r="J40" s="29">
        <f>IF(ISBLANK(E40),U$19,E40)</f>
        <v>26.7</v>
      </c>
      <c r="K40" s="29">
        <f>IF(ISBLANK(F40),U$20,F40)</f>
        <v>35.1</v>
      </c>
      <c r="L40" s="29">
        <f>IF(ISBLANK(G40),U$21,G40)</f>
        <v>3.6199999999999992</v>
      </c>
      <c r="M40" s="29">
        <f>IF(ISBLANK(H40),VLOOKUP(B40,$O$1:$P$9,2,TRUE),H40)</f>
        <v>114</v>
      </c>
    </row>
    <row r="41" spans="1:20" ht="15.75" customHeight="1" x14ac:dyDescent="0.5">
      <c r="A41" s="25">
        <v>40</v>
      </c>
      <c r="B41" s="25">
        <f t="shared" si="1"/>
        <v>3</v>
      </c>
      <c r="C41" s="26">
        <f t="shared" si="0"/>
        <v>45035</v>
      </c>
      <c r="D41" s="27">
        <v>53.6</v>
      </c>
      <c r="E41" s="27">
        <v>37.700000000000003</v>
      </c>
      <c r="F41" s="27">
        <v>32</v>
      </c>
      <c r="G41" s="28">
        <v>28.850000000000005</v>
      </c>
      <c r="H41" s="27">
        <v>230</v>
      </c>
      <c r="I41" s="29">
        <v>53.6</v>
      </c>
      <c r="J41" s="29">
        <f>IF(ISBLANK(E41),U$19,E41)</f>
        <v>37.700000000000003</v>
      </c>
      <c r="K41" s="29">
        <f>IF(ISBLANK(F41),U$20,F41)</f>
        <v>32</v>
      </c>
      <c r="L41" s="29">
        <f>IF(ISBLANK(G41),U$21,G41)</f>
        <v>28.850000000000005</v>
      </c>
      <c r="M41" s="29">
        <f>IF(ISBLANK(H41),VLOOKUP(B41,$O$1:$P$9,2,TRUE),H41)</f>
        <v>230</v>
      </c>
    </row>
    <row r="42" spans="1:20" ht="15.75" customHeight="1" x14ac:dyDescent="0.5">
      <c r="A42" s="25">
        <v>41</v>
      </c>
      <c r="B42" s="25">
        <f t="shared" si="1"/>
        <v>4</v>
      </c>
      <c r="C42" s="26">
        <f t="shared" si="0"/>
        <v>45036</v>
      </c>
      <c r="D42" s="27">
        <v>45.5</v>
      </c>
      <c r="E42" s="27">
        <v>22.3</v>
      </c>
      <c r="F42" s="27">
        <v>31.6</v>
      </c>
      <c r="G42" s="28">
        <v>18.759999999999998</v>
      </c>
      <c r="H42" s="27">
        <v>179</v>
      </c>
      <c r="I42" s="29">
        <v>45.5</v>
      </c>
      <c r="J42" s="29">
        <f>IF(ISBLANK(E42),U$19,E42)</f>
        <v>22.3</v>
      </c>
      <c r="K42" s="29">
        <f>IF(ISBLANK(F42),U$20,F42)</f>
        <v>31.6</v>
      </c>
      <c r="L42" s="29">
        <f>IF(ISBLANK(G42),U$21,G42)</f>
        <v>18.759999999999998</v>
      </c>
      <c r="M42" s="29">
        <f>IF(ISBLANK(H42),VLOOKUP(B42,$O$1:$P$9,2,TRUE),H42)</f>
        <v>179</v>
      </c>
    </row>
    <row r="43" spans="1:20" ht="15.75" customHeight="1" x14ac:dyDescent="0.5">
      <c r="A43" s="25">
        <v>42</v>
      </c>
      <c r="B43" s="25">
        <f t="shared" si="1"/>
        <v>5</v>
      </c>
      <c r="C43" s="26">
        <f t="shared" si="0"/>
        <v>45037</v>
      </c>
      <c r="D43" s="27">
        <v>40.4</v>
      </c>
      <c r="E43" s="27">
        <v>33.4</v>
      </c>
      <c r="F43" s="27">
        <v>38.700000000000003</v>
      </c>
      <c r="G43" s="28">
        <v>18.919999999999995</v>
      </c>
      <c r="H43" s="27">
        <v>186</v>
      </c>
      <c r="I43" s="29">
        <v>40.4</v>
      </c>
      <c r="J43" s="29">
        <f>IF(ISBLANK(E43),U$19,E43)</f>
        <v>33.4</v>
      </c>
      <c r="K43" s="29">
        <f>IF(ISBLANK(F43),U$20,F43)</f>
        <v>38.700000000000003</v>
      </c>
      <c r="L43" s="29">
        <f>IF(ISBLANK(G43),U$21,G43)</f>
        <v>18.919999999999995</v>
      </c>
      <c r="M43" s="29">
        <f>IF(ISBLANK(H43),VLOOKUP(B43,$O$1:$P$9,2,TRUE),H43)</f>
        <v>186</v>
      </c>
    </row>
    <row r="44" spans="1:20" ht="15.75" customHeight="1" x14ac:dyDescent="0.5">
      <c r="A44" s="25">
        <v>43</v>
      </c>
      <c r="B44" s="25">
        <f t="shared" si="1"/>
        <v>6</v>
      </c>
      <c r="C44" s="26">
        <f t="shared" si="0"/>
        <v>45038</v>
      </c>
      <c r="D44" s="27">
        <v>67.72</v>
      </c>
      <c r="E44" s="27">
        <v>27.7</v>
      </c>
      <c r="F44" s="27">
        <v>1.8</v>
      </c>
      <c r="G44" s="28">
        <v>42.49</v>
      </c>
      <c r="H44" s="27">
        <v>226</v>
      </c>
      <c r="I44" s="29">
        <v>67.72</v>
      </c>
      <c r="J44" s="29">
        <f>IF(ISBLANK(E44),U$19,E44)</f>
        <v>27.7</v>
      </c>
      <c r="K44" s="29">
        <f>IF(ISBLANK(F44),U$20,F44)</f>
        <v>1.8</v>
      </c>
      <c r="L44" s="29">
        <f>IF(ISBLANK(G44),U$21,G44)</f>
        <v>42.49</v>
      </c>
      <c r="M44" s="29">
        <f>IF(ISBLANK(H44),VLOOKUP(B44,$O$1:$P$9,2,TRUE),H44)</f>
        <v>226</v>
      </c>
    </row>
    <row r="45" spans="1:20" ht="15.75" customHeight="1" x14ac:dyDescent="0.5">
      <c r="A45" s="25">
        <v>44</v>
      </c>
      <c r="B45" s="25">
        <f t="shared" si="1"/>
        <v>7</v>
      </c>
      <c r="C45" s="26">
        <f t="shared" si="0"/>
        <v>45039</v>
      </c>
      <c r="D45" s="27">
        <v>51.38</v>
      </c>
      <c r="E45" s="27">
        <v>8.4</v>
      </c>
      <c r="F45" s="27">
        <v>26.4</v>
      </c>
      <c r="G45" s="28">
        <v>14.33</v>
      </c>
      <c r="H45" s="27">
        <v>149</v>
      </c>
      <c r="I45" s="29">
        <v>51.38</v>
      </c>
      <c r="J45" s="29">
        <f>IF(ISBLANK(E45),U$19,E45)</f>
        <v>8.4</v>
      </c>
      <c r="K45" s="29">
        <f>IF(ISBLANK(F45),U$20,F45)</f>
        <v>26.4</v>
      </c>
      <c r="L45" s="29">
        <f>IF(ISBLANK(G45),U$21,G45)</f>
        <v>14.33</v>
      </c>
      <c r="M45" s="29">
        <f>IF(ISBLANK(H45),VLOOKUP(B45,$O$1:$P$9,2,TRUE),H45)</f>
        <v>149</v>
      </c>
    </row>
    <row r="46" spans="1:20" ht="15.75" customHeight="1" x14ac:dyDescent="0.5">
      <c r="A46" s="25">
        <v>45</v>
      </c>
      <c r="B46" s="25">
        <f t="shared" si="1"/>
        <v>1</v>
      </c>
      <c r="C46" s="26">
        <f t="shared" si="0"/>
        <v>45040</v>
      </c>
      <c r="D46" s="27">
        <v>12.02</v>
      </c>
      <c r="E46" s="27">
        <v>25.7</v>
      </c>
      <c r="F46" s="27">
        <v>43.3</v>
      </c>
      <c r="G46" s="28">
        <v>18.04</v>
      </c>
      <c r="H46" s="27">
        <v>89</v>
      </c>
      <c r="I46" s="29">
        <v>12.02</v>
      </c>
      <c r="J46" s="29">
        <f>IF(ISBLANK(E46),U$19,E46)</f>
        <v>25.7</v>
      </c>
      <c r="K46" s="29">
        <f>IF(ISBLANK(F46),U$20,F46)</f>
        <v>43.3</v>
      </c>
      <c r="L46" s="29">
        <f>IF(ISBLANK(G46),U$21,G46)</f>
        <v>18.04</v>
      </c>
      <c r="M46" s="29">
        <f>IF(ISBLANK(H46),VLOOKUP(B46,$O$1:$P$9,2,TRUE),H46)</f>
        <v>89</v>
      </c>
    </row>
    <row r="47" spans="1:20" ht="15.75" customHeight="1" x14ac:dyDescent="0.5">
      <c r="A47" s="25">
        <v>46</v>
      </c>
      <c r="B47" s="25">
        <f t="shared" si="1"/>
        <v>2</v>
      </c>
      <c r="C47" s="26">
        <f t="shared" si="0"/>
        <v>45041</v>
      </c>
      <c r="D47" s="27">
        <v>42.019999999999996</v>
      </c>
      <c r="E47" s="27">
        <v>22.5</v>
      </c>
      <c r="F47" s="27">
        <v>31.5</v>
      </c>
      <c r="G47" s="28">
        <v>16.159999999999997</v>
      </c>
      <c r="H47" s="27">
        <v>165</v>
      </c>
      <c r="I47" s="29">
        <v>42.019999999999996</v>
      </c>
      <c r="J47" s="29">
        <f>IF(ISBLANK(E47),U$19,E47)</f>
        <v>22.5</v>
      </c>
      <c r="K47" s="29">
        <f>IF(ISBLANK(F47),U$20,F47)</f>
        <v>31.5</v>
      </c>
      <c r="L47" s="29">
        <f>IF(ISBLANK(G47),U$21,G47)</f>
        <v>16.159999999999997</v>
      </c>
      <c r="M47" s="29">
        <f>IF(ISBLANK(H47),VLOOKUP(B47,$O$1:$P$9,2,TRUE),H47)</f>
        <v>165</v>
      </c>
    </row>
    <row r="48" spans="1:20" ht="15.75" customHeight="1" x14ac:dyDescent="0.5">
      <c r="A48" s="25">
        <v>47</v>
      </c>
      <c r="B48" s="25">
        <f t="shared" si="1"/>
        <v>3</v>
      </c>
      <c r="C48" s="26">
        <f t="shared" si="0"/>
        <v>45042</v>
      </c>
      <c r="D48" s="27">
        <v>18.940000000000001</v>
      </c>
      <c r="E48" s="27">
        <v>9.9</v>
      </c>
      <c r="F48" s="27">
        <v>35.700000000000003</v>
      </c>
      <c r="G48" s="28">
        <v>19.64</v>
      </c>
      <c r="H48" s="27">
        <v>119</v>
      </c>
      <c r="I48" s="29">
        <v>18.940000000000001</v>
      </c>
      <c r="J48" s="29">
        <f>IF(ISBLANK(E48),U$19,E48)</f>
        <v>9.9</v>
      </c>
      <c r="K48" s="29">
        <f>IF(ISBLANK(F48),U$20,F48)</f>
        <v>35.700000000000003</v>
      </c>
      <c r="L48" s="29">
        <f>IF(ISBLANK(G48),U$21,G48)</f>
        <v>19.64</v>
      </c>
      <c r="M48" s="29">
        <f>IF(ISBLANK(H48),VLOOKUP(B48,$O$1:$P$9,2,TRUE),H48)</f>
        <v>119</v>
      </c>
    </row>
    <row r="49" spans="1:13" ht="15.75" customHeight="1" x14ac:dyDescent="0.5">
      <c r="A49" s="25">
        <v>48</v>
      </c>
      <c r="B49" s="25">
        <f t="shared" si="1"/>
        <v>4</v>
      </c>
      <c r="C49" s="26">
        <f t="shared" si="0"/>
        <v>45043</v>
      </c>
      <c r="D49" s="27">
        <v>52.980000000000004</v>
      </c>
      <c r="E49" s="27">
        <v>41.5</v>
      </c>
      <c r="F49" s="27">
        <v>18.5</v>
      </c>
      <c r="G49" s="28">
        <v>37.340000000000003</v>
      </c>
      <c r="H49" s="27">
        <v>245</v>
      </c>
      <c r="I49" s="29">
        <v>52.980000000000004</v>
      </c>
      <c r="J49" s="29">
        <f>IF(ISBLANK(E49),U$19,E49)</f>
        <v>41.5</v>
      </c>
      <c r="K49" s="29">
        <f>IF(ISBLANK(F49),U$20,F49)</f>
        <v>18.5</v>
      </c>
      <c r="L49" s="29">
        <f>IF(ISBLANK(G49),U$21,G49)</f>
        <v>37.340000000000003</v>
      </c>
      <c r="M49" s="29">
        <f>IF(ISBLANK(H49),VLOOKUP(B49,$O$1:$P$9,2,TRUE),H49)</f>
        <v>245</v>
      </c>
    </row>
    <row r="50" spans="1:13" ht="15.75" customHeight="1" x14ac:dyDescent="0.5">
      <c r="A50" s="25">
        <v>49</v>
      </c>
      <c r="B50" s="25">
        <f t="shared" si="1"/>
        <v>5</v>
      </c>
      <c r="C50" s="26">
        <f t="shared" si="0"/>
        <v>45044</v>
      </c>
      <c r="D50" s="27">
        <v>46.44</v>
      </c>
      <c r="E50" s="27">
        <v>15.8</v>
      </c>
      <c r="F50" s="27">
        <v>49.9</v>
      </c>
      <c r="G50" s="28">
        <v>10.659999999999997</v>
      </c>
      <c r="H50" s="27">
        <v>149</v>
      </c>
      <c r="I50" s="29">
        <v>46.44</v>
      </c>
      <c r="J50" s="29">
        <f>IF(ISBLANK(E50),U$19,E50)</f>
        <v>15.8</v>
      </c>
      <c r="K50" s="29">
        <f>IF(ISBLANK(F50),U$20,F50)</f>
        <v>49.9</v>
      </c>
      <c r="L50" s="29">
        <f>IF(ISBLANK(G50),U$21,G50)</f>
        <v>10.659999999999997</v>
      </c>
      <c r="M50" s="29">
        <f>IF(ISBLANK(H50),VLOOKUP(B50,$O$1:$P$9,2,TRUE),H50)</f>
        <v>149</v>
      </c>
    </row>
    <row r="51" spans="1:13" ht="15.75" customHeight="1" x14ac:dyDescent="0.5">
      <c r="A51" s="25">
        <v>50</v>
      </c>
      <c r="B51" s="25">
        <f t="shared" si="1"/>
        <v>6</v>
      </c>
      <c r="C51" s="26">
        <f t="shared" si="0"/>
        <v>45045</v>
      </c>
      <c r="D51" s="27">
        <v>14.38</v>
      </c>
      <c r="E51" s="27">
        <v>11.7</v>
      </c>
      <c r="F51" s="27">
        <v>36.799999999999997</v>
      </c>
      <c r="G51" s="28">
        <v>17.82</v>
      </c>
      <c r="H51" s="27">
        <v>111</v>
      </c>
      <c r="I51" s="29">
        <v>14.38</v>
      </c>
      <c r="J51" s="29">
        <f>IF(ISBLANK(E51),U$19,E51)</f>
        <v>11.7</v>
      </c>
      <c r="K51" s="29">
        <f>IF(ISBLANK(F51),U$20,F51)</f>
        <v>36.799999999999997</v>
      </c>
      <c r="L51" s="29">
        <f>IF(ISBLANK(G51),U$21,G51)</f>
        <v>17.82</v>
      </c>
      <c r="M51" s="29">
        <f>IF(ISBLANK(H51),VLOOKUP(B51,$O$1:$P$9,2,TRUE),H51)</f>
        <v>111</v>
      </c>
    </row>
    <row r="52" spans="1:13" ht="15.75" customHeight="1" x14ac:dyDescent="0.5">
      <c r="A52" s="25">
        <v>51</v>
      </c>
      <c r="B52" s="25">
        <f t="shared" si="1"/>
        <v>7</v>
      </c>
      <c r="C52" s="26">
        <f t="shared" si="0"/>
        <v>45046</v>
      </c>
      <c r="D52" s="27">
        <v>43.96</v>
      </c>
      <c r="E52" s="27">
        <v>3.1</v>
      </c>
      <c r="F52" s="27">
        <v>34.6</v>
      </c>
      <c r="G52" s="28">
        <v>7.6899999999999995</v>
      </c>
      <c r="H52" s="27">
        <v>122</v>
      </c>
      <c r="I52" s="29">
        <v>43.96</v>
      </c>
      <c r="J52" s="29">
        <f>IF(ISBLANK(E52),U$19,E52)</f>
        <v>3.1</v>
      </c>
      <c r="K52" s="29">
        <f>IF(ISBLANK(F52),U$20,F52)</f>
        <v>34.6</v>
      </c>
      <c r="L52" s="29">
        <f>IF(ISBLANK(G52),U$21,G52)</f>
        <v>7.6899999999999995</v>
      </c>
      <c r="M52" s="29">
        <f>IF(ISBLANK(H52),VLOOKUP(B52,$O$1:$P$9,2,TRUE),H52)</f>
        <v>122</v>
      </c>
    </row>
    <row r="53" spans="1:13" ht="15.75" customHeight="1" x14ac:dyDescent="0.5">
      <c r="A53" s="25">
        <v>52</v>
      </c>
      <c r="B53" s="25">
        <f t="shared" si="1"/>
        <v>1</v>
      </c>
      <c r="C53" s="26">
        <f t="shared" si="0"/>
        <v>45047</v>
      </c>
      <c r="D53" s="27">
        <v>29.080000000000002</v>
      </c>
      <c r="E53" s="27">
        <v>9.6</v>
      </c>
      <c r="F53" s="27">
        <v>3.6</v>
      </c>
      <c r="G53" s="28">
        <v>13.4</v>
      </c>
      <c r="H53" s="27">
        <v>112</v>
      </c>
      <c r="I53" s="29">
        <v>29.080000000000002</v>
      </c>
      <c r="J53" s="29">
        <f>IF(ISBLANK(E53),U$19,E53)</f>
        <v>9.6</v>
      </c>
      <c r="K53" s="29">
        <f>IF(ISBLANK(F53),U$20,F53)</f>
        <v>3.6</v>
      </c>
      <c r="L53" s="29">
        <f>IF(ISBLANK(G53),U$21,G53)</f>
        <v>13.4</v>
      </c>
      <c r="M53" s="29">
        <f>IF(ISBLANK(H53),VLOOKUP(B53,$O$1:$P$9,2,TRUE),H53)</f>
        <v>112</v>
      </c>
    </row>
    <row r="54" spans="1:13" ht="15.75" customHeight="1" x14ac:dyDescent="0.5">
      <c r="A54" s="25">
        <v>53</v>
      </c>
      <c r="B54" s="25">
        <f t="shared" si="1"/>
        <v>2</v>
      </c>
      <c r="C54" s="26">
        <f t="shared" si="0"/>
        <v>45048</v>
      </c>
      <c r="D54" s="27">
        <v>44.28</v>
      </c>
      <c r="E54" s="27">
        <v>41.7</v>
      </c>
      <c r="F54" s="27">
        <v>39.6</v>
      </c>
      <c r="G54" s="28">
        <v>26.65</v>
      </c>
      <c r="H54" s="27">
        <v>235</v>
      </c>
      <c r="I54" s="29">
        <v>44.28</v>
      </c>
      <c r="J54" s="29">
        <f>IF(ISBLANK(E54),U$19,E54)</f>
        <v>41.7</v>
      </c>
      <c r="K54" s="29">
        <f>IF(ISBLANK(F54),U$20,F54)</f>
        <v>39.6</v>
      </c>
      <c r="L54" s="29">
        <f>IF(ISBLANK(G54),U$21,G54)</f>
        <v>26.65</v>
      </c>
      <c r="M54" s="29">
        <f>IF(ISBLANK(H54),VLOOKUP(B54,$O$1:$P$9,2,TRUE),H54)</f>
        <v>235</v>
      </c>
    </row>
    <row r="55" spans="1:13" ht="15.75" customHeight="1" x14ac:dyDescent="0.5">
      <c r="A55" s="25">
        <v>54</v>
      </c>
      <c r="B55" s="25">
        <f t="shared" si="1"/>
        <v>3</v>
      </c>
      <c r="C55" s="26">
        <f t="shared" si="0"/>
        <v>45049</v>
      </c>
      <c r="D55" s="27">
        <v>41.519999999999996</v>
      </c>
      <c r="E55" s="27">
        <v>46.2</v>
      </c>
      <c r="F55" s="27">
        <v>58.7</v>
      </c>
      <c r="G55" s="28">
        <v>17.879999999999995</v>
      </c>
      <c r="H55" s="27">
        <v>225</v>
      </c>
      <c r="I55" s="29">
        <v>41.519999999999996</v>
      </c>
      <c r="J55" s="29">
        <f>IF(ISBLANK(E55),U$19,E55)</f>
        <v>46.2</v>
      </c>
      <c r="K55" s="29">
        <f>IF(ISBLANK(F55),U$20,F55)</f>
        <v>58.7</v>
      </c>
      <c r="L55" s="29">
        <f>IF(ISBLANK(G55),U$21,G55)</f>
        <v>17.879999999999995</v>
      </c>
      <c r="M55" s="29">
        <f>IF(ISBLANK(H55),VLOOKUP(B55,$O$1:$P$9,2,TRUE),H55)</f>
        <v>225</v>
      </c>
    </row>
    <row r="56" spans="1:13" ht="15.75" customHeight="1" x14ac:dyDescent="0.5">
      <c r="A56" s="25">
        <v>55</v>
      </c>
      <c r="B56" s="25">
        <f t="shared" si="1"/>
        <v>4</v>
      </c>
      <c r="C56" s="26">
        <f t="shared" si="0"/>
        <v>45050</v>
      </c>
      <c r="D56" s="27">
        <v>62.54</v>
      </c>
      <c r="E56" s="27">
        <v>28.8</v>
      </c>
      <c r="F56" s="27">
        <v>15.9</v>
      </c>
      <c r="G56" s="28">
        <v>34.31</v>
      </c>
      <c r="H56" s="27">
        <v>220</v>
      </c>
      <c r="I56" s="29">
        <v>62.54</v>
      </c>
      <c r="J56" s="29">
        <f>IF(ISBLANK(E56),U$19,E56)</f>
        <v>28.8</v>
      </c>
      <c r="K56" s="29">
        <f>IF(ISBLANK(F56),U$20,F56)</f>
        <v>15.9</v>
      </c>
      <c r="L56" s="29">
        <f>IF(ISBLANK(G56),U$21,G56)</f>
        <v>34.31</v>
      </c>
      <c r="M56" s="29">
        <f>IF(ISBLANK(H56),VLOOKUP(B56,$O$1:$P$9,2,TRUE),H56)</f>
        <v>220</v>
      </c>
    </row>
    <row r="57" spans="1:13" ht="15.75" customHeight="1" x14ac:dyDescent="0.5">
      <c r="A57" s="25">
        <v>56</v>
      </c>
      <c r="B57" s="25">
        <f t="shared" si="1"/>
        <v>5</v>
      </c>
      <c r="C57" s="26">
        <f t="shared" si="0"/>
        <v>45051</v>
      </c>
      <c r="D57" s="27">
        <v>40.78</v>
      </c>
      <c r="E57" s="27">
        <v>49.4</v>
      </c>
      <c r="F57" s="27">
        <v>60</v>
      </c>
      <c r="G57" s="28">
        <v>20.590000000000003</v>
      </c>
      <c r="H57" s="27">
        <v>240</v>
      </c>
      <c r="I57" s="29">
        <v>40.78</v>
      </c>
      <c r="J57" s="29">
        <f>IF(ISBLANK(E57),U$19,E57)</f>
        <v>49.4</v>
      </c>
      <c r="K57" s="29">
        <f>IF(ISBLANK(F57),U$20,F57)</f>
        <v>60</v>
      </c>
      <c r="L57" s="29">
        <f>IF(ISBLANK(G57),U$21,G57)</f>
        <v>20.590000000000003</v>
      </c>
      <c r="M57" s="29">
        <f>IF(ISBLANK(H57),VLOOKUP(B57,$O$1:$P$9,2,TRUE),H57)</f>
        <v>240</v>
      </c>
    </row>
    <row r="58" spans="1:13" ht="15.75" customHeight="1" x14ac:dyDescent="0.5">
      <c r="A58" s="25">
        <v>57</v>
      </c>
      <c r="B58" s="25">
        <f t="shared" si="1"/>
        <v>6</v>
      </c>
      <c r="C58" s="26">
        <f t="shared" si="0"/>
        <v>45052</v>
      </c>
      <c r="D58" s="27">
        <v>3.46</v>
      </c>
      <c r="E58" s="27">
        <v>28.1</v>
      </c>
      <c r="F58" s="27">
        <v>41.4</v>
      </c>
      <c r="G58" s="28">
        <v>18.220000000000002</v>
      </c>
      <c r="H58" s="27">
        <v>71</v>
      </c>
      <c r="I58" s="29">
        <v>3.46</v>
      </c>
      <c r="J58" s="29">
        <f>IF(ISBLANK(E58),U$19,E58)</f>
        <v>28.1</v>
      </c>
      <c r="K58" s="29">
        <f>IF(ISBLANK(F58),U$20,F58)</f>
        <v>41.4</v>
      </c>
      <c r="L58" s="29">
        <f>IF(ISBLANK(G58),U$21,G58)</f>
        <v>18.220000000000002</v>
      </c>
      <c r="M58" s="29">
        <f>IF(ISBLANK(H58),VLOOKUP(B58,$O$1:$P$9,2,TRUE),H58)</f>
        <v>71</v>
      </c>
    </row>
    <row r="59" spans="1:13" ht="15.75" customHeight="1" x14ac:dyDescent="0.5">
      <c r="A59" s="25">
        <v>58</v>
      </c>
      <c r="B59" s="25">
        <f t="shared" si="1"/>
        <v>7</v>
      </c>
      <c r="C59" s="26">
        <f t="shared" si="0"/>
        <v>45053</v>
      </c>
      <c r="D59" s="27">
        <v>33.239999999999995</v>
      </c>
      <c r="E59" s="27">
        <v>19.2</v>
      </c>
      <c r="F59" s="27">
        <v>16.600000000000001</v>
      </c>
      <c r="G59" s="28">
        <v>16.579999999999998</v>
      </c>
      <c r="H59" s="27">
        <v>133</v>
      </c>
      <c r="I59" s="29">
        <v>33.239999999999995</v>
      </c>
      <c r="J59" s="29">
        <f>IF(ISBLANK(E59),U$19,E59)</f>
        <v>19.2</v>
      </c>
      <c r="K59" s="29">
        <f>IF(ISBLANK(F59),U$20,F59)</f>
        <v>16.600000000000001</v>
      </c>
      <c r="L59" s="29">
        <f>IF(ISBLANK(G59),U$21,G59)</f>
        <v>16.579999999999998</v>
      </c>
      <c r="M59" s="29">
        <f>IF(ISBLANK(H59),VLOOKUP(B59,$O$1:$P$9,2,TRUE),H59)</f>
        <v>133</v>
      </c>
    </row>
    <row r="60" spans="1:13" ht="15.75" customHeight="1" x14ac:dyDescent="0.5">
      <c r="A60" s="25">
        <v>59</v>
      </c>
      <c r="B60" s="25">
        <f t="shared" si="1"/>
        <v>1</v>
      </c>
      <c r="C60" s="26">
        <f t="shared" si="0"/>
        <v>45054</v>
      </c>
      <c r="D60" s="27">
        <v>49.160000000000004</v>
      </c>
      <c r="E60" s="27">
        <v>49.6</v>
      </c>
      <c r="F60" s="27">
        <v>37.700000000000003</v>
      </c>
      <c r="G60" s="28">
        <v>30.8</v>
      </c>
      <c r="H60" s="27">
        <v>239</v>
      </c>
      <c r="I60" s="29">
        <v>49.160000000000004</v>
      </c>
      <c r="J60" s="29">
        <f>IF(ISBLANK(E60),U$19,E60)</f>
        <v>49.6</v>
      </c>
      <c r="K60" s="29">
        <f>IF(ISBLANK(F60),U$20,F60)</f>
        <v>37.700000000000003</v>
      </c>
      <c r="L60" s="29">
        <f>IF(ISBLANK(G60),U$21,G60)</f>
        <v>30.8</v>
      </c>
      <c r="M60" s="29">
        <f>IF(ISBLANK(H60),VLOOKUP(B60,$O$1:$P$9,2,TRUE),H60)</f>
        <v>239</v>
      </c>
    </row>
    <row r="61" spans="1:13" ht="15.75" customHeight="1" x14ac:dyDescent="0.5">
      <c r="A61" s="25">
        <v>60</v>
      </c>
      <c r="B61" s="25">
        <f t="shared" si="1"/>
        <v>2</v>
      </c>
      <c r="C61" s="26">
        <f t="shared" si="0"/>
        <v>45055</v>
      </c>
      <c r="D61" s="27">
        <v>50.14</v>
      </c>
      <c r="E61" s="27">
        <v>29.5</v>
      </c>
      <c r="F61" s="27">
        <v>9.3000000000000007</v>
      </c>
      <c r="G61" s="28">
        <v>32.1</v>
      </c>
      <c r="H61" s="27">
        <v>186</v>
      </c>
      <c r="I61" s="29">
        <v>50.14</v>
      </c>
      <c r="J61" s="29">
        <f>IF(ISBLANK(E61),U$19,E61)</f>
        <v>29.5</v>
      </c>
      <c r="K61" s="29">
        <f>IF(ISBLANK(F61),U$20,F61)</f>
        <v>9.3000000000000007</v>
      </c>
      <c r="L61" s="29">
        <f>IF(ISBLANK(G61),U$21,G61)</f>
        <v>32.1</v>
      </c>
      <c r="M61" s="29">
        <f>IF(ISBLANK(H61),VLOOKUP(B61,$O$1:$P$9,2,TRUE),H61)</f>
        <v>186</v>
      </c>
    </row>
    <row r="62" spans="1:13" ht="15.75" customHeight="1" x14ac:dyDescent="0.5">
      <c r="A62" s="25">
        <v>61</v>
      </c>
      <c r="B62" s="25">
        <f t="shared" si="1"/>
        <v>3</v>
      </c>
      <c r="C62" s="26">
        <f t="shared" si="0"/>
        <v>45056</v>
      </c>
      <c r="D62" s="27">
        <v>16.7</v>
      </c>
      <c r="E62" s="27">
        <v>2</v>
      </c>
      <c r="F62" s="27">
        <v>21.4</v>
      </c>
      <c r="G62" s="28">
        <v>17.79</v>
      </c>
      <c r="H62" s="27">
        <v>83</v>
      </c>
      <c r="I62" s="29">
        <v>16.7</v>
      </c>
      <c r="J62" s="29">
        <f>IF(ISBLANK(E62),U$19,E62)</f>
        <v>2</v>
      </c>
      <c r="K62" s="29">
        <f>IF(ISBLANK(F62),U$20,F62)</f>
        <v>21.4</v>
      </c>
      <c r="L62" s="29">
        <f>IF(ISBLANK(G62),U$21,G62)</f>
        <v>17.79</v>
      </c>
      <c r="M62" s="29">
        <f>IF(ISBLANK(H62),VLOOKUP(B62,$O$1:$P$9,2,TRUE),H62)</f>
        <v>83</v>
      </c>
    </row>
    <row r="63" spans="1:13" ht="15.75" customHeight="1" x14ac:dyDescent="0.5">
      <c r="A63" s="25">
        <v>62</v>
      </c>
      <c r="B63" s="25">
        <f t="shared" si="1"/>
        <v>4</v>
      </c>
      <c r="C63" s="26">
        <f t="shared" si="0"/>
        <v>45057</v>
      </c>
      <c r="D63" s="27">
        <v>61.260000000000005</v>
      </c>
      <c r="E63" s="27">
        <v>42.7</v>
      </c>
      <c r="F63" s="27">
        <v>54.7</v>
      </c>
      <c r="G63" s="28">
        <v>25.6</v>
      </c>
      <c r="H63" s="27">
        <v>240</v>
      </c>
      <c r="I63" s="29">
        <v>61.260000000000005</v>
      </c>
      <c r="J63" s="29">
        <f>IF(ISBLANK(E63),U$19,E63)</f>
        <v>42.7</v>
      </c>
      <c r="K63" s="29">
        <f>IF(ISBLANK(F63),U$20,F63)</f>
        <v>54.7</v>
      </c>
      <c r="L63" s="29">
        <f>IF(ISBLANK(G63),U$21,G63)</f>
        <v>25.6</v>
      </c>
      <c r="M63" s="29">
        <f>IF(ISBLANK(H63),VLOOKUP(B63,$O$1:$P$9,2,TRUE),H63)</f>
        <v>240</v>
      </c>
    </row>
    <row r="64" spans="1:13" ht="15.75" customHeight="1" x14ac:dyDescent="0.5">
      <c r="A64" s="25">
        <v>63</v>
      </c>
      <c r="B64" s="25">
        <f t="shared" si="1"/>
        <v>5</v>
      </c>
      <c r="C64" s="26">
        <f t="shared" si="0"/>
        <v>45058</v>
      </c>
      <c r="D64" s="27">
        <v>53.86</v>
      </c>
      <c r="E64" s="27">
        <v>15.5</v>
      </c>
      <c r="F64" s="27">
        <v>27.3</v>
      </c>
      <c r="G64" s="28">
        <v>20.759999999999998</v>
      </c>
      <c r="H64" s="27">
        <v>170</v>
      </c>
      <c r="I64" s="29">
        <v>53.86</v>
      </c>
      <c r="J64" s="29">
        <f>IF(ISBLANK(E64),U$19,E64)</f>
        <v>15.5</v>
      </c>
      <c r="K64" s="29">
        <f>IF(ISBLANK(F64),U$20,F64)</f>
        <v>27.3</v>
      </c>
      <c r="L64" s="29">
        <f>IF(ISBLANK(G64),U$21,G64)</f>
        <v>20.759999999999998</v>
      </c>
      <c r="M64" s="29">
        <f>IF(ISBLANK(H64),VLOOKUP(B64,$O$1:$P$9,2,TRUE),H64)</f>
        <v>170</v>
      </c>
    </row>
    <row r="65" spans="1:13" ht="15.75" customHeight="1" x14ac:dyDescent="0.5">
      <c r="A65" s="25">
        <v>64</v>
      </c>
      <c r="B65" s="25">
        <f t="shared" si="1"/>
        <v>6</v>
      </c>
      <c r="C65" s="26">
        <f t="shared" si="0"/>
        <v>45059</v>
      </c>
      <c r="D65" s="27">
        <v>27.54</v>
      </c>
      <c r="E65" s="27">
        <v>29.6</v>
      </c>
      <c r="F65" s="27">
        <v>8.4</v>
      </c>
      <c r="G65" s="28">
        <v>21.71</v>
      </c>
      <c r="H65" s="27">
        <v>298.75</v>
      </c>
      <c r="I65" s="29">
        <v>27.54</v>
      </c>
      <c r="J65" s="29">
        <f>IF(ISBLANK(E65),U$19,E65)</f>
        <v>29.6</v>
      </c>
      <c r="K65" s="29">
        <f>IF(ISBLANK(F65),U$20,F65)</f>
        <v>8.4</v>
      </c>
      <c r="L65" s="29">
        <f>IF(ISBLANK(G65),U$21,G65)</f>
        <v>21.71</v>
      </c>
      <c r="M65" s="29">
        <f>IF(ISBLANK(H65),VLOOKUP(B65,$O$1:$P$9,2,TRUE),H65)</f>
        <v>298.75</v>
      </c>
    </row>
    <row r="66" spans="1:13" ht="15.75" customHeight="1" x14ac:dyDescent="0.5">
      <c r="A66" s="25">
        <v>65</v>
      </c>
      <c r="B66" s="25">
        <f t="shared" si="1"/>
        <v>7</v>
      </c>
      <c r="C66" s="26">
        <f t="shared" si="0"/>
        <v>45060</v>
      </c>
      <c r="D66" s="27">
        <v>27.22</v>
      </c>
      <c r="E66" s="27">
        <v>42.8</v>
      </c>
      <c r="F66" s="27">
        <v>28.9</v>
      </c>
      <c r="G66" s="28">
        <v>22.949999999999996</v>
      </c>
      <c r="H66" s="27">
        <v>187</v>
      </c>
      <c r="I66" s="29">
        <v>27.22</v>
      </c>
      <c r="J66" s="29">
        <f>IF(ISBLANK(E66),U$19,E66)</f>
        <v>42.8</v>
      </c>
      <c r="K66" s="29">
        <f>IF(ISBLANK(F66),U$20,F66)</f>
        <v>28.9</v>
      </c>
      <c r="L66" s="29">
        <f>IF(ISBLANK(G66),U$21,G66)</f>
        <v>22.949999999999996</v>
      </c>
      <c r="M66" s="29">
        <f>IF(ISBLANK(H66),VLOOKUP(B66,$O$1:$P$9,2,TRUE),H66)</f>
        <v>187</v>
      </c>
    </row>
    <row r="67" spans="1:13" ht="15.75" customHeight="1" x14ac:dyDescent="0.5">
      <c r="A67" s="25">
        <v>66</v>
      </c>
      <c r="B67" s="25">
        <f t="shared" ref="B67:B130" si="4">WEEKDAY(C67,2)</f>
        <v>1</v>
      </c>
      <c r="C67" s="26">
        <f t="shared" si="0"/>
        <v>45061</v>
      </c>
      <c r="D67" s="27">
        <v>21.8</v>
      </c>
      <c r="E67" s="27">
        <v>9.3000000000000007</v>
      </c>
      <c r="F67" s="27">
        <v>0.9</v>
      </c>
      <c r="G67" s="28">
        <v>11.190000000000001</v>
      </c>
      <c r="H67" s="27">
        <v>109</v>
      </c>
      <c r="I67" s="29">
        <v>21.8</v>
      </c>
      <c r="J67" s="29">
        <f>IF(ISBLANK(E67),U$19,E67)</f>
        <v>9.3000000000000007</v>
      </c>
      <c r="K67" s="29">
        <f>IF(ISBLANK(F67),U$20,F67)</f>
        <v>0.9</v>
      </c>
      <c r="L67" s="29">
        <f>IF(ISBLANK(G67),U$21,G67)</f>
        <v>11.190000000000001</v>
      </c>
      <c r="M67" s="29">
        <f>IF(ISBLANK(H67),VLOOKUP(B67,$O$1:$P$9,2,TRUE),H67)</f>
        <v>109</v>
      </c>
    </row>
    <row r="68" spans="1:13" ht="15.75" customHeight="1" x14ac:dyDescent="0.5">
      <c r="A68" s="25">
        <v>67</v>
      </c>
      <c r="B68" s="25">
        <f t="shared" si="4"/>
        <v>2</v>
      </c>
      <c r="C68" s="26">
        <f t="shared" si="0"/>
        <v>45062</v>
      </c>
      <c r="D68" s="27">
        <v>15.3</v>
      </c>
      <c r="E68" s="27">
        <v>24.6</v>
      </c>
      <c r="F68" s="27">
        <v>2.2000000000000002</v>
      </c>
      <c r="G68" s="28">
        <v>14.57</v>
      </c>
      <c r="H68" s="27">
        <v>104</v>
      </c>
      <c r="I68" s="29">
        <v>15.3</v>
      </c>
      <c r="J68" s="29">
        <f>IF(ISBLANK(E68),U$19,E68)</f>
        <v>24.6</v>
      </c>
      <c r="K68" s="29">
        <f>IF(ISBLANK(F68),U$20,F68)</f>
        <v>2.2000000000000002</v>
      </c>
      <c r="L68" s="29">
        <f>IF(ISBLANK(G68),U$21,G68)</f>
        <v>14.57</v>
      </c>
      <c r="M68" s="29">
        <f>IF(ISBLANK(H68),VLOOKUP(B68,$O$1:$P$9,2,TRUE),H68)</f>
        <v>104</v>
      </c>
    </row>
    <row r="69" spans="1:13" ht="15.75" customHeight="1" x14ac:dyDescent="0.5">
      <c r="A69" s="25">
        <v>68</v>
      </c>
      <c r="B69" s="25">
        <f t="shared" si="4"/>
        <v>3</v>
      </c>
      <c r="C69" s="26">
        <f t="shared" si="0"/>
        <v>45063</v>
      </c>
      <c r="D69" s="27">
        <v>30.860000000000003</v>
      </c>
      <c r="E69" s="27">
        <v>14.5</v>
      </c>
      <c r="F69" s="27">
        <v>10.199999999999999</v>
      </c>
      <c r="G69" s="28">
        <v>17.100000000000001</v>
      </c>
      <c r="H69" s="27">
        <v>135</v>
      </c>
      <c r="I69" s="29">
        <v>30.860000000000003</v>
      </c>
      <c r="J69" s="29">
        <f>IF(ISBLANK(E69),U$19,E69)</f>
        <v>14.5</v>
      </c>
      <c r="K69" s="29">
        <f>IF(ISBLANK(F69),U$20,F69)</f>
        <v>10.199999999999999</v>
      </c>
      <c r="L69" s="29">
        <f>IF(ISBLANK(G69),U$21,G69)</f>
        <v>17.100000000000001</v>
      </c>
      <c r="M69" s="29">
        <f>IF(ISBLANK(H69),VLOOKUP(B69,$O$1:$P$9,2,TRUE),H69)</f>
        <v>135</v>
      </c>
    </row>
    <row r="70" spans="1:13" ht="15.75" customHeight="1" x14ac:dyDescent="0.5">
      <c r="A70" s="25">
        <v>69</v>
      </c>
      <c r="B70" s="25">
        <f t="shared" si="4"/>
        <v>4</v>
      </c>
      <c r="C70" s="26">
        <f t="shared" si="0"/>
        <v>45064</v>
      </c>
      <c r="D70" s="27">
        <v>51.480000000000004</v>
      </c>
      <c r="E70" s="27">
        <v>27.5</v>
      </c>
      <c r="F70" s="27">
        <v>11</v>
      </c>
      <c r="G70" s="28">
        <v>33.090000000000003</v>
      </c>
      <c r="H70" s="27">
        <v>196</v>
      </c>
      <c r="I70" s="29">
        <v>51.480000000000004</v>
      </c>
      <c r="J70" s="29">
        <f>IF(ISBLANK(E70),U$19,E70)</f>
        <v>27.5</v>
      </c>
      <c r="K70" s="29">
        <f>IF(ISBLANK(F70),U$20,F70)</f>
        <v>11</v>
      </c>
      <c r="L70" s="29">
        <f>IF(ISBLANK(G70),U$21,G70)</f>
        <v>33.090000000000003</v>
      </c>
      <c r="M70" s="29">
        <f>IF(ISBLANK(H70),VLOOKUP(B70,$O$1:$P$9,2,TRUE),H70)</f>
        <v>196</v>
      </c>
    </row>
    <row r="71" spans="1:13" ht="15.75" customHeight="1" x14ac:dyDescent="0.5">
      <c r="A71" s="25">
        <v>70</v>
      </c>
      <c r="B71" s="25">
        <f t="shared" si="4"/>
        <v>5</v>
      </c>
      <c r="C71" s="26">
        <f t="shared" si="0"/>
        <v>45065</v>
      </c>
      <c r="D71" s="27">
        <v>48.36</v>
      </c>
      <c r="E71" s="27">
        <v>43.9</v>
      </c>
      <c r="F71" s="27">
        <v>27.2</v>
      </c>
      <c r="G71" s="28">
        <v>32.749999999999993</v>
      </c>
      <c r="H71" s="27">
        <v>229</v>
      </c>
      <c r="I71" s="29">
        <v>48.36</v>
      </c>
      <c r="J71" s="29">
        <f>IF(ISBLANK(E71),U$19,E71)</f>
        <v>43.9</v>
      </c>
      <c r="K71" s="29">
        <f>IF(ISBLANK(F71),U$20,F71)</f>
        <v>27.2</v>
      </c>
      <c r="L71" s="29">
        <f>IF(ISBLANK(G71),U$21,G71)</f>
        <v>32.749999999999993</v>
      </c>
      <c r="M71" s="29">
        <f>IF(ISBLANK(H71),VLOOKUP(B71,$O$1:$P$9,2,TRUE),H71)</f>
        <v>229</v>
      </c>
    </row>
    <row r="72" spans="1:13" ht="15.75" customHeight="1" x14ac:dyDescent="0.5">
      <c r="A72" s="25">
        <v>71</v>
      </c>
      <c r="B72" s="25">
        <f t="shared" si="4"/>
        <v>6</v>
      </c>
      <c r="C72" s="26">
        <f t="shared" si="0"/>
        <v>45066</v>
      </c>
      <c r="D72" s="27">
        <v>44.82</v>
      </c>
      <c r="E72" s="27">
        <v>30.6</v>
      </c>
      <c r="F72" s="27">
        <v>38.700000000000003</v>
      </c>
      <c r="G72" s="28">
        <v>19.729999999999997</v>
      </c>
      <c r="H72" s="27">
        <v>196</v>
      </c>
      <c r="I72" s="29">
        <v>44.82</v>
      </c>
      <c r="J72" s="29">
        <f>IF(ISBLANK(E72),U$19,E72)</f>
        <v>30.6</v>
      </c>
      <c r="K72" s="29">
        <f>IF(ISBLANK(F72),U$20,F72)</f>
        <v>38.700000000000003</v>
      </c>
      <c r="L72" s="29">
        <f>IF(ISBLANK(G72),U$21,G72)</f>
        <v>19.729999999999997</v>
      </c>
      <c r="M72" s="29">
        <f>IF(ISBLANK(H72),VLOOKUP(B72,$O$1:$P$9,2,TRUE),H72)</f>
        <v>196</v>
      </c>
    </row>
    <row r="73" spans="1:13" ht="15.75" customHeight="1" x14ac:dyDescent="0.5">
      <c r="A73" s="25">
        <v>72</v>
      </c>
      <c r="B73" s="25">
        <f t="shared" si="4"/>
        <v>7</v>
      </c>
      <c r="C73" s="26">
        <f t="shared" si="0"/>
        <v>45067</v>
      </c>
      <c r="D73" s="27">
        <v>29.96</v>
      </c>
      <c r="E73" s="27">
        <v>14.3</v>
      </c>
      <c r="F73" s="27">
        <v>31.7</v>
      </c>
      <c r="G73" s="28">
        <v>5.4500000000000028</v>
      </c>
      <c r="H73" s="27">
        <v>129</v>
      </c>
      <c r="I73" s="29">
        <v>29.96</v>
      </c>
      <c r="J73" s="29">
        <f>IF(ISBLANK(E73),U$19,E73)</f>
        <v>14.3</v>
      </c>
      <c r="K73" s="29">
        <f>IF(ISBLANK(F73),U$20,F73)</f>
        <v>31.7</v>
      </c>
      <c r="L73" s="29">
        <f>IF(ISBLANK(G73),U$21,G73)</f>
        <v>5.4500000000000028</v>
      </c>
      <c r="M73" s="29">
        <f>IF(ISBLANK(H73),VLOOKUP(B73,$O$1:$P$9,2,TRUE),H73)</f>
        <v>129</v>
      </c>
    </row>
    <row r="74" spans="1:13" ht="15.75" customHeight="1" x14ac:dyDescent="0.5">
      <c r="A74" s="25">
        <v>73</v>
      </c>
      <c r="B74" s="25">
        <f t="shared" si="4"/>
        <v>1</v>
      </c>
      <c r="C74" s="26">
        <f t="shared" si="0"/>
        <v>45068</v>
      </c>
      <c r="D74" s="27">
        <v>15.36</v>
      </c>
      <c r="E74" s="27">
        <v>33</v>
      </c>
      <c r="F74" s="27">
        <v>19.3</v>
      </c>
      <c r="G74" s="28">
        <v>11.459999999999999</v>
      </c>
      <c r="H74" s="27">
        <v>106</v>
      </c>
      <c r="I74" s="29">
        <v>15.36</v>
      </c>
      <c r="J74" s="29">
        <f>IF(ISBLANK(E74),U$19,E74)</f>
        <v>33</v>
      </c>
      <c r="K74" s="29">
        <f>IF(ISBLANK(F74),U$20,F74)</f>
        <v>19.3</v>
      </c>
      <c r="L74" s="29">
        <f>IF(ISBLANK(G74),U$21,G74)</f>
        <v>11.459999999999999</v>
      </c>
      <c r="M74" s="29">
        <f>IF(ISBLANK(H74),VLOOKUP(B74,$O$1:$P$9,2,TRUE),H74)</f>
        <v>106</v>
      </c>
    </row>
    <row r="75" spans="1:13" ht="15.75" customHeight="1" x14ac:dyDescent="0.5">
      <c r="A75" s="25">
        <v>74</v>
      </c>
      <c r="B75" s="25">
        <f t="shared" si="4"/>
        <v>2</v>
      </c>
      <c r="C75" s="26">
        <f t="shared" si="0"/>
        <v>45069</v>
      </c>
      <c r="D75" s="27">
        <v>28.880000000000003</v>
      </c>
      <c r="E75" s="27">
        <v>5.7</v>
      </c>
      <c r="F75" s="27">
        <v>31.3</v>
      </c>
      <c r="G75" s="28">
        <v>3.2699999999999996</v>
      </c>
      <c r="H75" s="27">
        <v>117</v>
      </c>
      <c r="I75" s="29">
        <v>28.880000000000003</v>
      </c>
      <c r="J75" s="29">
        <f>IF(ISBLANK(E75),U$19,E75)</f>
        <v>5.7</v>
      </c>
      <c r="K75" s="29">
        <f>IF(ISBLANK(F75),U$20,F75)</f>
        <v>31.3</v>
      </c>
      <c r="L75" s="29">
        <f>IF(ISBLANK(G75),U$21,G75)</f>
        <v>3.2699999999999996</v>
      </c>
      <c r="M75" s="29">
        <f>IF(ISBLANK(H75),VLOOKUP(B75,$O$1:$P$9,2,TRUE),H75)</f>
        <v>117</v>
      </c>
    </row>
    <row r="76" spans="1:13" ht="15.75" customHeight="1" x14ac:dyDescent="0.5">
      <c r="A76" s="25">
        <v>75</v>
      </c>
      <c r="B76" s="25">
        <f t="shared" si="4"/>
        <v>3</v>
      </c>
      <c r="C76" s="26">
        <f t="shared" si="0"/>
        <v>45070</v>
      </c>
      <c r="D76" s="27">
        <v>50.68</v>
      </c>
      <c r="E76" s="27">
        <v>0</v>
      </c>
      <c r="F76" s="27">
        <v>13.1</v>
      </c>
      <c r="G76" s="28">
        <v>28.4</v>
      </c>
      <c r="H76" s="27">
        <v>187</v>
      </c>
      <c r="I76" s="29">
        <v>50.68</v>
      </c>
      <c r="J76" s="29">
        <f>IF(ISBLANK(E76),U$19,E76)</f>
        <v>0</v>
      </c>
      <c r="K76" s="29">
        <f>IF(ISBLANK(F76),U$20,F76)</f>
        <v>13.1</v>
      </c>
      <c r="L76" s="29">
        <f>IF(ISBLANK(G76),U$21,G76)</f>
        <v>28.4</v>
      </c>
      <c r="M76" s="29">
        <f>IF(ISBLANK(H76),VLOOKUP(B76,$O$1:$P$9,2,TRUE),H76)</f>
        <v>187</v>
      </c>
    </row>
    <row r="77" spans="1:13" ht="15.75" customHeight="1" x14ac:dyDescent="0.5">
      <c r="A77" s="25">
        <v>76</v>
      </c>
      <c r="B77" s="25">
        <f t="shared" si="4"/>
        <v>4</v>
      </c>
      <c r="C77" s="26">
        <f t="shared" si="0"/>
        <v>45071</v>
      </c>
      <c r="D77" s="27">
        <v>12.379999999999999</v>
      </c>
      <c r="E77" s="27">
        <v>43.7</v>
      </c>
      <c r="F77" s="27">
        <v>89.4</v>
      </c>
      <c r="G77" s="28">
        <v>7.7799999999999976</v>
      </c>
      <c r="H77" s="27">
        <v>105</v>
      </c>
      <c r="I77" s="29">
        <v>12.379999999999999</v>
      </c>
      <c r="J77" s="29">
        <f>IF(ISBLANK(E77),U$19,E77)</f>
        <v>43.7</v>
      </c>
      <c r="K77" s="29">
        <f>IF(ISBLANK(F77),U$20,F77)</f>
        <v>89.4</v>
      </c>
      <c r="L77" s="29">
        <f>IF(ISBLANK(G77),U$21,G77)</f>
        <v>7.7799999999999976</v>
      </c>
      <c r="M77" s="29">
        <f>IF(ISBLANK(H77),VLOOKUP(B77,$O$1:$P$9,2,TRUE),H77)</f>
        <v>105</v>
      </c>
    </row>
    <row r="78" spans="1:13" ht="15.75" customHeight="1" x14ac:dyDescent="0.5">
      <c r="A78" s="25">
        <v>77</v>
      </c>
      <c r="B78" s="25">
        <f t="shared" si="4"/>
        <v>5</v>
      </c>
      <c r="C78" s="26">
        <f t="shared" si="0"/>
        <v>45072</v>
      </c>
      <c r="D78" s="27">
        <v>13.5</v>
      </c>
      <c r="E78" s="27">
        <v>1.6</v>
      </c>
      <c r="F78" s="27">
        <v>20.7</v>
      </c>
      <c r="G78" s="28">
        <v>15.27</v>
      </c>
      <c r="H78" s="27">
        <v>83</v>
      </c>
      <c r="I78" s="29">
        <v>13.5</v>
      </c>
      <c r="J78" s="29">
        <f>IF(ISBLANK(E78),U$19,E78)</f>
        <v>1.6</v>
      </c>
      <c r="K78" s="29">
        <f>IF(ISBLANK(F78),U$20,F78)</f>
        <v>20.7</v>
      </c>
      <c r="L78" s="29">
        <f>IF(ISBLANK(G78),U$21,G78)</f>
        <v>15.27</v>
      </c>
      <c r="M78" s="29">
        <f>IF(ISBLANK(H78),VLOOKUP(B78,$O$1:$P$9,2,TRUE),H78)</f>
        <v>83</v>
      </c>
    </row>
    <row r="79" spans="1:13" ht="15.75" customHeight="1" x14ac:dyDescent="0.5">
      <c r="A79" s="25">
        <v>78</v>
      </c>
      <c r="B79" s="25">
        <f t="shared" si="4"/>
        <v>6</v>
      </c>
      <c r="C79" s="26">
        <f t="shared" si="0"/>
        <v>45073</v>
      </c>
      <c r="D79" s="27">
        <v>25.1</v>
      </c>
      <c r="E79" s="27">
        <v>28.5</v>
      </c>
      <c r="F79" s="27">
        <v>14.2</v>
      </c>
      <c r="G79" s="28">
        <v>20.62</v>
      </c>
      <c r="H79" s="27">
        <v>149</v>
      </c>
      <c r="I79" s="29">
        <v>25.1</v>
      </c>
      <c r="J79" s="29">
        <f>IF(ISBLANK(E79),U$19,E79)</f>
        <v>28.5</v>
      </c>
      <c r="K79" s="29">
        <f>IF(ISBLANK(F79),U$20,F79)</f>
        <v>14.2</v>
      </c>
      <c r="L79" s="29">
        <f>IF(ISBLANK(G79),U$21,G79)</f>
        <v>20.62</v>
      </c>
      <c r="M79" s="29">
        <f>IF(ISBLANK(H79),VLOOKUP(B79,$O$1:$P$9,2,TRUE),H79)</f>
        <v>149</v>
      </c>
    </row>
    <row r="80" spans="1:13" ht="15.75" customHeight="1" x14ac:dyDescent="0.5">
      <c r="A80" s="25">
        <v>79</v>
      </c>
      <c r="B80" s="25">
        <f t="shared" si="4"/>
        <v>7</v>
      </c>
      <c r="C80" s="26">
        <f t="shared" si="0"/>
        <v>45074</v>
      </c>
      <c r="D80" s="27">
        <v>8.08</v>
      </c>
      <c r="E80" s="27">
        <v>29.9</v>
      </c>
      <c r="F80" s="27">
        <v>9.4</v>
      </c>
      <c r="G80" s="28">
        <v>11.729999999999999</v>
      </c>
      <c r="H80" s="27">
        <v>62</v>
      </c>
      <c r="I80" s="29">
        <v>8.08</v>
      </c>
      <c r="J80" s="29">
        <f>IF(ISBLANK(E80),U$19,E80)</f>
        <v>29.9</v>
      </c>
      <c r="K80" s="29">
        <f>IF(ISBLANK(F80),U$20,F80)</f>
        <v>9.4</v>
      </c>
      <c r="L80" s="29">
        <f>IF(ISBLANK(G80),U$21,G80)</f>
        <v>11.729999999999999</v>
      </c>
      <c r="M80" s="29">
        <f>IF(ISBLANK(H80),VLOOKUP(B80,$O$1:$P$9,2,TRUE),H80)</f>
        <v>62</v>
      </c>
    </row>
    <row r="81" spans="1:13" ht="15.75" customHeight="1" x14ac:dyDescent="0.5">
      <c r="A81" s="25">
        <v>80</v>
      </c>
      <c r="B81" s="25">
        <f t="shared" si="4"/>
        <v>1</v>
      </c>
      <c r="C81" s="26">
        <f t="shared" si="0"/>
        <v>45075</v>
      </c>
      <c r="D81" s="27">
        <v>31.2</v>
      </c>
      <c r="E81" s="27">
        <v>7.7</v>
      </c>
      <c r="F81" s="27">
        <v>23.1</v>
      </c>
      <c r="G81" s="28">
        <v>6.2099999999999991</v>
      </c>
      <c r="H81" s="27">
        <v>120</v>
      </c>
      <c r="I81" s="29">
        <v>31.2</v>
      </c>
      <c r="J81" s="29">
        <f>IF(ISBLANK(E81),U$19,E81)</f>
        <v>7.7</v>
      </c>
      <c r="K81" s="29">
        <f>IF(ISBLANK(F81),U$20,F81)</f>
        <v>23.1</v>
      </c>
      <c r="L81" s="29">
        <f>IF(ISBLANK(G81),U$21,G81)</f>
        <v>6.2099999999999991</v>
      </c>
      <c r="M81" s="29">
        <f>IF(ISBLANK(H81),VLOOKUP(B81,$O$1:$P$9,2,TRUE),H81)</f>
        <v>120</v>
      </c>
    </row>
    <row r="82" spans="1:13" ht="15.75" customHeight="1" x14ac:dyDescent="0.5">
      <c r="A82" s="25">
        <v>81</v>
      </c>
      <c r="B82" s="25">
        <f t="shared" si="4"/>
        <v>2</v>
      </c>
      <c r="C82" s="26">
        <f t="shared" si="0"/>
        <v>45076</v>
      </c>
      <c r="D82" s="27">
        <v>19.28</v>
      </c>
      <c r="E82" s="27">
        <v>26.7</v>
      </c>
      <c r="F82" s="27">
        <v>22.3</v>
      </c>
      <c r="G82" s="28">
        <v>12.070000000000002</v>
      </c>
      <c r="H82" s="27">
        <v>120</v>
      </c>
      <c r="I82" s="29">
        <v>19.28</v>
      </c>
      <c r="J82" s="29">
        <f>IF(ISBLANK(E82),U$19,E82)</f>
        <v>26.7</v>
      </c>
      <c r="K82" s="29">
        <f>IF(ISBLANK(F82),U$20,F82)</f>
        <v>22.3</v>
      </c>
      <c r="L82" s="29">
        <f>IF(ISBLANK(G82),U$21,G82)</f>
        <v>12.070000000000002</v>
      </c>
      <c r="M82" s="29">
        <f>IF(ISBLANK(H82),VLOOKUP(B82,$O$1:$P$9,2,TRUE),H82)</f>
        <v>120</v>
      </c>
    </row>
    <row r="83" spans="1:13" ht="15.75" customHeight="1" x14ac:dyDescent="0.5">
      <c r="A83" s="25">
        <v>82</v>
      </c>
      <c r="B83" s="25">
        <f t="shared" si="4"/>
        <v>3</v>
      </c>
      <c r="C83" s="26">
        <f t="shared" si="0"/>
        <v>45077</v>
      </c>
      <c r="D83" s="27">
        <v>151.96</v>
      </c>
      <c r="E83" s="27">
        <v>4.0999999999999996</v>
      </c>
      <c r="F83" s="27">
        <v>36.9</v>
      </c>
      <c r="G83" s="28">
        <v>11.270000000000001</v>
      </c>
      <c r="H83" s="27">
        <v>128</v>
      </c>
      <c r="I83" s="29">
        <v>151.96</v>
      </c>
      <c r="J83" s="29">
        <f>IF(ISBLANK(E83),U$19,E83)</f>
        <v>4.0999999999999996</v>
      </c>
      <c r="K83" s="29">
        <f>IF(ISBLANK(F83),U$20,F83)</f>
        <v>36.9</v>
      </c>
      <c r="L83" s="29">
        <f>IF(ISBLANK(G83),U$21,G83)</f>
        <v>11.270000000000001</v>
      </c>
      <c r="M83" s="29">
        <f>IF(ISBLANK(H83),VLOOKUP(B83,$O$1:$P$9,2,TRUE),H83)</f>
        <v>128</v>
      </c>
    </row>
    <row r="84" spans="1:13" ht="15.75" customHeight="1" x14ac:dyDescent="0.5">
      <c r="A84" s="25">
        <v>83</v>
      </c>
      <c r="B84" s="25">
        <f t="shared" si="4"/>
        <v>4</v>
      </c>
      <c r="C84" s="26">
        <f t="shared" si="0"/>
        <v>45078</v>
      </c>
      <c r="D84" s="27">
        <v>18.059999999999999</v>
      </c>
      <c r="E84" s="27">
        <v>20.3</v>
      </c>
      <c r="F84" s="27">
        <v>32.5</v>
      </c>
      <c r="G84" s="28">
        <v>4.68</v>
      </c>
      <c r="H84" s="27">
        <v>128</v>
      </c>
      <c r="I84" s="29">
        <v>18.059999999999999</v>
      </c>
      <c r="J84" s="29">
        <f>IF(ISBLANK(E84),U$19,E84)</f>
        <v>20.3</v>
      </c>
      <c r="K84" s="29">
        <f>IF(ISBLANK(F84),U$20,F84)</f>
        <v>32.5</v>
      </c>
      <c r="L84" s="29">
        <f>IF(ISBLANK(G84),U$21,G84)</f>
        <v>4.68</v>
      </c>
      <c r="M84" s="29">
        <f>IF(ISBLANK(H84),VLOOKUP(B84,$O$1:$P$9,2,TRUE),H84)</f>
        <v>128</v>
      </c>
    </row>
    <row r="85" spans="1:13" ht="15.75" customHeight="1" x14ac:dyDescent="0.5">
      <c r="A85" s="25">
        <v>84</v>
      </c>
      <c r="B85" s="25">
        <f t="shared" si="4"/>
        <v>5</v>
      </c>
      <c r="C85" s="26">
        <f t="shared" si="0"/>
        <v>45079</v>
      </c>
      <c r="D85" s="27">
        <v>22.68</v>
      </c>
      <c r="E85" s="27">
        <v>44.5</v>
      </c>
      <c r="F85" s="27">
        <v>35.6</v>
      </c>
      <c r="G85" s="28">
        <v>14.849999999999998</v>
      </c>
      <c r="H85" s="27">
        <v>149</v>
      </c>
      <c r="I85" s="29">
        <v>22.68</v>
      </c>
      <c r="J85" s="29">
        <f>IF(ISBLANK(E85),U$19,E85)</f>
        <v>44.5</v>
      </c>
      <c r="K85" s="29">
        <f>IF(ISBLANK(F85),U$20,F85)</f>
        <v>35.6</v>
      </c>
      <c r="L85" s="29">
        <f>IF(ISBLANK(G85),U$21,G85)</f>
        <v>14.849999999999998</v>
      </c>
      <c r="M85" s="29">
        <f>IF(ISBLANK(H85),VLOOKUP(B85,$O$1:$P$9,2,TRUE),H85)</f>
        <v>149</v>
      </c>
    </row>
    <row r="86" spans="1:13" ht="15.75" customHeight="1" x14ac:dyDescent="0.5">
      <c r="A86" s="25">
        <v>85</v>
      </c>
      <c r="B86" s="25">
        <f t="shared" si="4"/>
        <v>6</v>
      </c>
      <c r="C86" s="26">
        <f t="shared" si="0"/>
        <v>45080</v>
      </c>
      <c r="D86" s="27">
        <v>45.7</v>
      </c>
      <c r="E86" s="27">
        <v>43</v>
      </c>
      <c r="F86" s="27">
        <v>33.799999999999997</v>
      </c>
      <c r="G86" s="28">
        <v>29.330000000000002</v>
      </c>
      <c r="H86" s="27">
        <v>223</v>
      </c>
      <c r="I86" s="29">
        <v>45.7</v>
      </c>
      <c r="J86" s="29">
        <f>IF(ISBLANK(E86),U$19,E86)</f>
        <v>43</v>
      </c>
      <c r="K86" s="29">
        <f>IF(ISBLANK(F86),U$20,F86)</f>
        <v>33.799999999999997</v>
      </c>
      <c r="L86" s="29">
        <f>IF(ISBLANK(G86),U$21,G86)</f>
        <v>29.330000000000002</v>
      </c>
      <c r="M86" s="29">
        <f>IF(ISBLANK(H86),VLOOKUP(B86,$O$1:$P$9,2,TRUE),H86)</f>
        <v>223</v>
      </c>
    </row>
    <row r="87" spans="1:13" ht="15.75" customHeight="1" x14ac:dyDescent="0.5">
      <c r="A87" s="25">
        <v>86</v>
      </c>
      <c r="B87" s="25">
        <f t="shared" si="4"/>
        <v>7</v>
      </c>
      <c r="C87" s="26">
        <f t="shared" si="0"/>
        <v>45081</v>
      </c>
      <c r="D87" s="27">
        <v>42.64</v>
      </c>
      <c r="E87" s="27">
        <v>18.399999999999999</v>
      </c>
      <c r="F87" s="27">
        <v>65.7</v>
      </c>
      <c r="G87" s="28">
        <v>2.2399999999999984</v>
      </c>
      <c r="H87" s="27">
        <v>159</v>
      </c>
      <c r="I87" s="29">
        <v>42.64</v>
      </c>
      <c r="J87" s="29">
        <f>IF(ISBLANK(E87),U$19,E87)</f>
        <v>18.399999999999999</v>
      </c>
      <c r="K87" s="29">
        <f>IF(ISBLANK(F87),U$20,F87)</f>
        <v>65.7</v>
      </c>
      <c r="L87" s="29">
        <f>IF(ISBLANK(G87),U$21,G87)</f>
        <v>2.2399999999999984</v>
      </c>
      <c r="M87" s="29">
        <f>IF(ISBLANK(H87),VLOOKUP(B87,$O$1:$P$9,2,TRUE),H87)</f>
        <v>159</v>
      </c>
    </row>
    <row r="88" spans="1:13" ht="15.75" customHeight="1" x14ac:dyDescent="0.5">
      <c r="A88" s="25">
        <v>87</v>
      </c>
      <c r="B88" s="25">
        <f t="shared" si="4"/>
        <v>1</v>
      </c>
      <c r="C88" s="26">
        <f t="shared" si="0"/>
        <v>45082</v>
      </c>
      <c r="D88" s="27">
        <v>21.259999999999998</v>
      </c>
      <c r="E88" s="27">
        <v>27.5</v>
      </c>
      <c r="F88" s="27">
        <v>16</v>
      </c>
      <c r="G88" s="28">
        <v>14.979999999999999</v>
      </c>
      <c r="H88" s="27">
        <v>122</v>
      </c>
      <c r="I88" s="29">
        <v>21.259999999999998</v>
      </c>
      <c r="J88" s="29">
        <f>IF(ISBLANK(E88),U$19,E88)</f>
        <v>27.5</v>
      </c>
      <c r="K88" s="29">
        <f>IF(ISBLANK(F88),U$20,F88)</f>
        <v>16</v>
      </c>
      <c r="L88" s="29">
        <f>IF(ISBLANK(G88),U$21,G88)</f>
        <v>14.979999999999999</v>
      </c>
      <c r="M88" s="29">
        <f>IF(ISBLANK(H88),VLOOKUP(B88,$O$1:$P$9,2,TRUE),H88)</f>
        <v>122</v>
      </c>
    </row>
    <row r="89" spans="1:13" ht="15.75" customHeight="1" x14ac:dyDescent="0.5">
      <c r="A89" s="25">
        <v>88</v>
      </c>
      <c r="B89" s="25">
        <f t="shared" si="4"/>
        <v>2</v>
      </c>
      <c r="C89" s="26">
        <f t="shared" si="0"/>
        <v>45083</v>
      </c>
      <c r="D89" s="27">
        <v>28.14</v>
      </c>
      <c r="E89" s="27">
        <v>40.6</v>
      </c>
      <c r="F89" s="27">
        <v>63.2</v>
      </c>
      <c r="G89" s="28">
        <v>6.09</v>
      </c>
      <c r="H89" s="27">
        <v>180</v>
      </c>
      <c r="I89" s="29">
        <v>28.14</v>
      </c>
      <c r="J89" s="29">
        <f>IF(ISBLANK(E89),U$19,E89)</f>
        <v>40.6</v>
      </c>
      <c r="K89" s="29">
        <f>IF(ISBLANK(F89),U$20,F89)</f>
        <v>63.2</v>
      </c>
      <c r="L89" s="29">
        <f>IF(ISBLANK(G89),U$21,G89)</f>
        <v>6.09</v>
      </c>
      <c r="M89" s="29">
        <f>IF(ISBLANK(H89),VLOOKUP(B89,$O$1:$P$9,2,TRUE),H89)</f>
        <v>180</v>
      </c>
    </row>
    <row r="90" spans="1:13" ht="15.75" customHeight="1" x14ac:dyDescent="0.5">
      <c r="A90" s="25">
        <v>89</v>
      </c>
      <c r="B90" s="25">
        <f t="shared" si="4"/>
        <v>3</v>
      </c>
      <c r="C90" s="26">
        <f t="shared" si="0"/>
        <v>45084</v>
      </c>
      <c r="D90" s="27">
        <v>27.66</v>
      </c>
      <c r="E90" s="27">
        <v>225.5</v>
      </c>
      <c r="F90" s="27">
        <v>73.400000000000006</v>
      </c>
      <c r="G90" s="28">
        <v>12.219999999999995</v>
      </c>
      <c r="H90" s="27">
        <v>147</v>
      </c>
      <c r="I90" s="29">
        <v>27.66</v>
      </c>
      <c r="J90" s="29">
        <f>IF(ISBLANK(E90),U$19,E90)</f>
        <v>225.5</v>
      </c>
      <c r="K90" s="29">
        <f>IF(ISBLANK(F90),U$20,F90)</f>
        <v>73.400000000000006</v>
      </c>
      <c r="L90" s="29">
        <f>IF(ISBLANK(G90),U$21,G90)</f>
        <v>12.219999999999995</v>
      </c>
      <c r="M90" s="29">
        <f>IF(ISBLANK(H90),VLOOKUP(B90,$O$1:$P$9,2,TRUE),H90)</f>
        <v>147</v>
      </c>
    </row>
    <row r="91" spans="1:13" ht="15.75" customHeight="1" x14ac:dyDescent="0.5">
      <c r="A91" s="25">
        <v>90</v>
      </c>
      <c r="B91" s="25">
        <f t="shared" si="4"/>
        <v>4</v>
      </c>
      <c r="C91" s="26">
        <f t="shared" si="0"/>
        <v>45085</v>
      </c>
      <c r="D91" s="27">
        <v>23.96</v>
      </c>
      <c r="E91" s="27">
        <v>47.8</v>
      </c>
      <c r="F91" s="27">
        <v>51.4</v>
      </c>
      <c r="G91" s="28">
        <v>14.319999999999993</v>
      </c>
      <c r="H91" s="27">
        <v>177</v>
      </c>
      <c r="I91" s="29">
        <v>23.96</v>
      </c>
      <c r="J91" s="29">
        <f>IF(ISBLANK(E91),U$19,E91)</f>
        <v>47.8</v>
      </c>
      <c r="K91" s="29">
        <f>IF(ISBLANK(F91),U$20,F91)</f>
        <v>51.4</v>
      </c>
      <c r="L91" s="29">
        <f>IF(ISBLANK(G91),U$21,G91)</f>
        <v>14.319999999999993</v>
      </c>
      <c r="M91" s="29">
        <f>IF(ISBLANK(H91),VLOOKUP(B91,$O$1:$P$9,2,TRUE),H91)</f>
        <v>177</v>
      </c>
    </row>
    <row r="92" spans="1:13" ht="15.75" customHeight="1" x14ac:dyDescent="0.5">
      <c r="A92" s="25">
        <v>91</v>
      </c>
      <c r="B92" s="25">
        <f t="shared" si="4"/>
        <v>5</v>
      </c>
      <c r="C92" s="26">
        <f t="shared" si="0"/>
        <v>45086</v>
      </c>
      <c r="D92" s="27">
        <v>31.860000000000003</v>
      </c>
      <c r="E92" s="27">
        <v>4.9000000000000004</v>
      </c>
      <c r="F92" s="27">
        <v>9.3000000000000007</v>
      </c>
      <c r="G92" s="28">
        <v>12.160000000000002</v>
      </c>
      <c r="H92" s="27">
        <v>93</v>
      </c>
      <c r="I92" s="29">
        <v>31.860000000000003</v>
      </c>
      <c r="J92" s="29">
        <f>IF(ISBLANK(E92),U$19,E92)</f>
        <v>4.9000000000000004</v>
      </c>
      <c r="K92" s="29">
        <f>IF(ISBLANK(F92),U$20,F92)</f>
        <v>9.3000000000000007</v>
      </c>
      <c r="L92" s="29">
        <f>IF(ISBLANK(G92),U$21,G92)</f>
        <v>12.160000000000002</v>
      </c>
      <c r="M92" s="29">
        <f>IF(ISBLANK(H92),VLOOKUP(B92,$O$1:$P$9,2,TRUE),H92)</f>
        <v>93</v>
      </c>
    </row>
    <row r="93" spans="1:13" ht="15.75" customHeight="1" x14ac:dyDescent="0.5">
      <c r="A93" s="25">
        <v>92</v>
      </c>
      <c r="B93" s="25">
        <f t="shared" si="4"/>
        <v>6</v>
      </c>
      <c r="C93" s="26">
        <f t="shared" si="0"/>
        <v>45087</v>
      </c>
      <c r="D93" s="27">
        <v>14.72</v>
      </c>
      <c r="E93" s="27">
        <v>1.5</v>
      </c>
      <c r="F93" s="27">
        <v>33</v>
      </c>
      <c r="G93" s="28">
        <v>10.41</v>
      </c>
      <c r="H93" s="27">
        <v>74</v>
      </c>
      <c r="I93" s="29">
        <v>14.72</v>
      </c>
      <c r="J93" s="29">
        <f>IF(ISBLANK(E93),U$19,E93)</f>
        <v>1.5</v>
      </c>
      <c r="K93" s="29">
        <f>IF(ISBLANK(F93),U$20,F93)</f>
        <v>33</v>
      </c>
      <c r="L93" s="29">
        <f>IF(ISBLANK(G93),U$21,G93)</f>
        <v>10.41</v>
      </c>
      <c r="M93" s="29">
        <f>IF(ISBLANK(H93),VLOOKUP(B93,$O$1:$P$9,2,TRUE),H93)</f>
        <v>74</v>
      </c>
    </row>
    <row r="94" spans="1:13" ht="15.75" customHeight="1" x14ac:dyDescent="0.5">
      <c r="A94" s="25">
        <v>93</v>
      </c>
      <c r="B94" s="25">
        <f t="shared" si="4"/>
        <v>7</v>
      </c>
      <c r="C94" s="26">
        <f t="shared" si="0"/>
        <v>45088</v>
      </c>
      <c r="D94" s="27">
        <v>47.54</v>
      </c>
      <c r="E94" s="27">
        <v>33.5</v>
      </c>
      <c r="F94" s="27">
        <v>59</v>
      </c>
      <c r="G94" s="28">
        <v>14.919999999999995</v>
      </c>
      <c r="H94" s="27">
        <v>811</v>
      </c>
      <c r="I94" s="29">
        <v>47.54</v>
      </c>
      <c r="J94" s="29">
        <f>IF(ISBLANK(E94),U$19,E94)</f>
        <v>33.5</v>
      </c>
      <c r="K94" s="29">
        <f>IF(ISBLANK(F94),U$20,F94)</f>
        <v>59</v>
      </c>
      <c r="L94" s="29">
        <f>IF(ISBLANK(G94),U$21,G94)</f>
        <v>14.919999999999995</v>
      </c>
      <c r="M94" s="29">
        <f>IF(ISBLANK(H94),VLOOKUP(B94,$O$1:$P$9,2,TRUE),H94)</f>
        <v>811</v>
      </c>
    </row>
    <row r="95" spans="1:13" ht="15.75" customHeight="1" x14ac:dyDescent="0.5">
      <c r="A95" s="25">
        <v>94</v>
      </c>
      <c r="B95" s="25">
        <f t="shared" si="4"/>
        <v>1</v>
      </c>
      <c r="C95" s="26">
        <f t="shared" si="0"/>
        <v>45089</v>
      </c>
      <c r="D95" s="27">
        <v>56.18</v>
      </c>
      <c r="E95" s="27">
        <v>36.5</v>
      </c>
      <c r="F95" s="27">
        <v>72.3</v>
      </c>
      <c r="G95" s="28">
        <v>14.420000000000002</v>
      </c>
      <c r="H95" s="27">
        <v>225</v>
      </c>
      <c r="I95" s="29">
        <v>56.18</v>
      </c>
      <c r="J95" s="29">
        <f>IF(ISBLANK(E95),U$19,E95)</f>
        <v>36.5</v>
      </c>
      <c r="K95" s="29">
        <f>IF(ISBLANK(F95),U$20,F95)</f>
        <v>72.3</v>
      </c>
      <c r="L95" s="29">
        <f>IF(ISBLANK(G95),U$21,G95)</f>
        <v>14.420000000000002</v>
      </c>
      <c r="M95" s="29">
        <f>IF(ISBLANK(H95),VLOOKUP(B95,$O$1:$P$9,2,TRUE),H95)</f>
        <v>225</v>
      </c>
    </row>
    <row r="96" spans="1:13" ht="15.75" customHeight="1" x14ac:dyDescent="0.5">
      <c r="A96" s="25">
        <v>95</v>
      </c>
      <c r="B96" s="25">
        <f t="shared" si="4"/>
        <v>2</v>
      </c>
      <c r="C96" s="26">
        <f t="shared" si="0"/>
        <v>45090</v>
      </c>
      <c r="D96" s="27">
        <v>30.48</v>
      </c>
      <c r="E96" s="27">
        <v>14</v>
      </c>
      <c r="F96" s="27">
        <v>10.9</v>
      </c>
      <c r="G96" s="28">
        <v>13.380000000000003</v>
      </c>
      <c r="H96" s="27">
        <v>117</v>
      </c>
      <c r="I96" s="29">
        <v>30.48</v>
      </c>
      <c r="J96" s="29">
        <f>IF(ISBLANK(E96),U$19,E96)</f>
        <v>14</v>
      </c>
      <c r="K96" s="29">
        <f>IF(ISBLANK(F96),U$20,F96)</f>
        <v>10.9</v>
      </c>
      <c r="L96" s="29">
        <f>IF(ISBLANK(G96),U$21,G96)</f>
        <v>13.380000000000003</v>
      </c>
      <c r="M96" s="29">
        <f>IF(ISBLANK(H96),VLOOKUP(B96,$O$1:$P$9,2,TRUE),H96)</f>
        <v>117</v>
      </c>
    </row>
    <row r="97" spans="1:13" ht="15.75" customHeight="1" x14ac:dyDescent="0.5">
      <c r="A97" s="25">
        <v>96</v>
      </c>
      <c r="B97" s="25">
        <f t="shared" si="4"/>
        <v>3</v>
      </c>
      <c r="C97" s="26">
        <f t="shared" si="0"/>
        <v>45091</v>
      </c>
      <c r="D97" s="27">
        <v>40.660000000000004</v>
      </c>
      <c r="E97" s="27">
        <v>31.6</v>
      </c>
      <c r="F97" s="27">
        <v>52.9</v>
      </c>
      <c r="G97" s="28">
        <v>10.970000000000002</v>
      </c>
      <c r="H97" s="27">
        <v>175</v>
      </c>
      <c r="I97" s="29">
        <v>40.660000000000004</v>
      </c>
      <c r="J97" s="29">
        <f>IF(ISBLANK(E97),U$19,E97)</f>
        <v>31.6</v>
      </c>
      <c r="K97" s="29">
        <f>IF(ISBLANK(F97),U$20,F97)</f>
        <v>52.9</v>
      </c>
      <c r="L97" s="29">
        <f>IF(ISBLANK(G97),U$21,G97)</f>
        <v>10.970000000000002</v>
      </c>
      <c r="M97" s="29">
        <f>IF(ISBLANK(H97),VLOOKUP(B97,$O$1:$P$9,2,TRUE),H97)</f>
        <v>175</v>
      </c>
    </row>
    <row r="98" spans="1:13" ht="15.75" customHeight="1" x14ac:dyDescent="0.5">
      <c r="A98" s="25">
        <v>97</v>
      </c>
      <c r="B98" s="25">
        <f t="shared" si="4"/>
        <v>4</v>
      </c>
      <c r="C98" s="26">
        <f t="shared" si="0"/>
        <v>45092</v>
      </c>
      <c r="D98" s="27">
        <v>46.519999999999996</v>
      </c>
      <c r="E98" s="27">
        <v>3.5</v>
      </c>
      <c r="F98" s="27">
        <v>5.9</v>
      </c>
      <c r="G98" s="28">
        <v>19.149999999999999</v>
      </c>
      <c r="H98" s="27">
        <v>132</v>
      </c>
      <c r="I98" s="29">
        <v>46.519999999999996</v>
      </c>
      <c r="J98" s="29">
        <f>IF(ISBLANK(E98),U$19,E98)</f>
        <v>3.5</v>
      </c>
      <c r="K98" s="29">
        <f>IF(ISBLANK(F98),U$20,F98)</f>
        <v>5.9</v>
      </c>
      <c r="L98" s="29">
        <f>IF(ISBLANK(G98),U$21,G98)</f>
        <v>19.149999999999999</v>
      </c>
      <c r="M98" s="29">
        <f>IF(ISBLANK(H98),VLOOKUP(B98,$O$1:$P$9,2,TRUE),H98)</f>
        <v>132</v>
      </c>
    </row>
    <row r="99" spans="1:13" ht="15.75" customHeight="1" x14ac:dyDescent="0.5">
      <c r="A99" s="25">
        <v>98</v>
      </c>
      <c r="B99" s="25">
        <f t="shared" si="4"/>
        <v>5</v>
      </c>
      <c r="C99" s="26">
        <f t="shared" si="0"/>
        <v>45093</v>
      </c>
      <c r="D99" s="27">
        <v>41.980000000000004</v>
      </c>
      <c r="E99" s="27">
        <v>21</v>
      </c>
      <c r="F99" s="27">
        <v>22</v>
      </c>
      <c r="G99" s="28">
        <v>20.190000000000001</v>
      </c>
      <c r="H99" s="27">
        <v>168</v>
      </c>
      <c r="I99" s="29">
        <v>41.980000000000004</v>
      </c>
      <c r="J99" s="29">
        <f>IF(ISBLANK(E99),U$19,E99)</f>
        <v>21</v>
      </c>
      <c r="K99" s="29">
        <f>IF(ISBLANK(F99),U$20,F99)</f>
        <v>22</v>
      </c>
      <c r="L99" s="29">
        <f>IF(ISBLANK(G99),U$21,G99)</f>
        <v>20.190000000000001</v>
      </c>
      <c r="M99" s="29">
        <f>IF(ISBLANK(H99),VLOOKUP(B99,$O$1:$P$9,2,TRUE),H99)</f>
        <v>168</v>
      </c>
    </row>
    <row r="100" spans="1:13" ht="15.75" customHeight="1" x14ac:dyDescent="0.5">
      <c r="A100" s="25">
        <v>99</v>
      </c>
      <c r="B100" s="25">
        <f t="shared" si="4"/>
        <v>6</v>
      </c>
      <c r="C100" s="26">
        <f t="shared" si="0"/>
        <v>45094</v>
      </c>
      <c r="D100" s="27">
        <v>64.94</v>
      </c>
      <c r="E100" s="27">
        <v>42.3</v>
      </c>
      <c r="F100" s="27">
        <v>51.2</v>
      </c>
      <c r="G100" s="28">
        <v>29.639999999999993</v>
      </c>
      <c r="H100" s="27">
        <v>257</v>
      </c>
      <c r="I100" s="29">
        <v>64.94</v>
      </c>
      <c r="J100" s="29">
        <f>IF(ISBLANK(E100),U$19,E100)</f>
        <v>42.3</v>
      </c>
      <c r="K100" s="29">
        <f>IF(ISBLANK(F100),U$20,F100)</f>
        <v>51.2</v>
      </c>
      <c r="L100" s="29">
        <f>IF(ISBLANK(G100),U$21,G100)</f>
        <v>29.639999999999993</v>
      </c>
      <c r="M100" s="29">
        <f>IF(ISBLANK(H100),VLOOKUP(B100,$O$1:$P$9,2,TRUE),H100)</f>
        <v>257</v>
      </c>
    </row>
    <row r="101" spans="1:13" ht="15.75" customHeight="1" x14ac:dyDescent="0.5">
      <c r="A101" s="25">
        <v>100</v>
      </c>
      <c r="B101" s="25">
        <f t="shared" si="4"/>
        <v>7</v>
      </c>
      <c r="C101" s="26">
        <f t="shared" si="0"/>
        <v>45095</v>
      </c>
      <c r="D101" s="27">
        <v>28.04</v>
      </c>
      <c r="E101" s="27">
        <v>41.7</v>
      </c>
      <c r="F101" s="27">
        <v>45.9</v>
      </c>
      <c r="G101" s="28">
        <v>16.010000000000005</v>
      </c>
      <c r="H101" s="27">
        <v>183</v>
      </c>
      <c r="I101" s="29">
        <v>28.04</v>
      </c>
      <c r="J101" s="29">
        <f>IF(ISBLANK(E101),U$19,E101)</f>
        <v>41.7</v>
      </c>
      <c r="K101" s="29">
        <f>IF(ISBLANK(F101),U$20,F101)</f>
        <v>45.9</v>
      </c>
      <c r="L101" s="29">
        <f>IF(ISBLANK(G101),U$21,G101)</f>
        <v>16.010000000000005</v>
      </c>
      <c r="M101" s="29">
        <f>IF(ISBLANK(H101),VLOOKUP(B101,$O$1:$P$9,2,TRUE),H101)</f>
        <v>183</v>
      </c>
    </row>
    <row r="102" spans="1:13" ht="15.75" customHeight="1" x14ac:dyDescent="0.5">
      <c r="A102" s="25">
        <v>101</v>
      </c>
      <c r="B102" s="25">
        <f t="shared" si="4"/>
        <v>1</v>
      </c>
      <c r="C102" s="26">
        <f t="shared" si="0"/>
        <v>45096</v>
      </c>
      <c r="D102" s="27">
        <v>51.480000000000004</v>
      </c>
      <c r="E102" s="27">
        <v>4.3</v>
      </c>
      <c r="F102" s="27">
        <v>49.8</v>
      </c>
      <c r="G102" s="28">
        <v>4.4699999999999989</v>
      </c>
      <c r="H102" s="27">
        <v>137</v>
      </c>
      <c r="I102" s="29">
        <v>51.480000000000004</v>
      </c>
      <c r="J102" s="29">
        <f>IF(ISBLANK(E102),U$19,E102)</f>
        <v>4.3</v>
      </c>
      <c r="K102" s="29">
        <f>IF(ISBLANK(F102),U$20,F102)</f>
        <v>49.8</v>
      </c>
      <c r="L102" s="29">
        <f>IF(ISBLANK(G102),U$21,G102)</f>
        <v>4.4699999999999989</v>
      </c>
      <c r="M102" s="29">
        <f>IF(ISBLANK(H102),VLOOKUP(B102,$O$1:$P$9,2,TRUE),H102)</f>
        <v>137</v>
      </c>
    </row>
    <row r="103" spans="1:13" ht="15.75" customHeight="1" x14ac:dyDescent="0.5">
      <c r="A103" s="25">
        <v>102</v>
      </c>
      <c r="B103" s="25">
        <f t="shared" si="4"/>
        <v>2</v>
      </c>
      <c r="C103" s="26">
        <f t="shared" si="0"/>
        <v>45097</v>
      </c>
      <c r="D103" s="27">
        <v>63.279999999999994</v>
      </c>
      <c r="E103" s="27">
        <v>36.299999999999997</v>
      </c>
      <c r="F103" s="27">
        <v>93.625</v>
      </c>
      <c r="G103" s="28">
        <v>10.339999999999989</v>
      </c>
      <c r="H103" s="27">
        <v>254</v>
      </c>
      <c r="I103" s="29">
        <v>63.279999999999994</v>
      </c>
      <c r="J103" s="29">
        <f>IF(ISBLANK(E103),U$19,E103)</f>
        <v>36.299999999999997</v>
      </c>
      <c r="K103" s="29">
        <f>IF(ISBLANK(F103),U$20,F103)</f>
        <v>93.625</v>
      </c>
      <c r="L103" s="29">
        <f>IF(ISBLANK(G103),U$21,G103)</f>
        <v>10.339999999999989</v>
      </c>
      <c r="M103" s="29">
        <f>IF(ISBLANK(H103),VLOOKUP(B103,$O$1:$P$9,2,TRUE),H103)</f>
        <v>254</v>
      </c>
    </row>
    <row r="104" spans="1:13" ht="15.75" customHeight="1" x14ac:dyDescent="0.5">
      <c r="A104" s="25">
        <v>103</v>
      </c>
      <c r="B104" s="25">
        <f t="shared" si="4"/>
        <v>3</v>
      </c>
      <c r="C104" s="26">
        <f t="shared" si="0"/>
        <v>45098</v>
      </c>
      <c r="D104" s="27">
        <v>64.039999999999992</v>
      </c>
      <c r="E104" s="27">
        <v>10.1</v>
      </c>
      <c r="F104" s="27">
        <v>21.4</v>
      </c>
      <c r="G104" s="28">
        <v>24.509999999999998</v>
      </c>
      <c r="H104" s="27">
        <v>158</v>
      </c>
      <c r="I104" s="29">
        <v>64.039999999999992</v>
      </c>
      <c r="J104" s="29">
        <f>IF(ISBLANK(E104),U$19,E104)</f>
        <v>10.1</v>
      </c>
      <c r="K104" s="29">
        <f>IF(ISBLANK(F104),U$20,F104)</f>
        <v>21.4</v>
      </c>
      <c r="L104" s="29">
        <f>IF(ISBLANK(G104),U$21,G104)</f>
        <v>24.509999999999998</v>
      </c>
      <c r="M104" s="29">
        <f>IF(ISBLANK(H104),VLOOKUP(B104,$O$1:$P$9,2,TRUE),H104)</f>
        <v>158</v>
      </c>
    </row>
    <row r="105" spans="1:13" ht="15.75" customHeight="1" x14ac:dyDescent="0.5">
      <c r="A105" s="25">
        <v>104</v>
      </c>
      <c r="B105" s="25">
        <f t="shared" si="4"/>
        <v>4</v>
      </c>
      <c r="C105" s="26">
        <f t="shared" si="0"/>
        <v>45099</v>
      </c>
      <c r="D105" s="27">
        <v>38.58</v>
      </c>
      <c r="E105" s="27">
        <v>17.2</v>
      </c>
      <c r="F105" s="27">
        <v>17.899999999999999</v>
      </c>
      <c r="G105" s="28">
        <v>20.23</v>
      </c>
      <c r="H105" s="27">
        <v>163</v>
      </c>
      <c r="I105" s="29">
        <v>38.58</v>
      </c>
      <c r="J105" s="29">
        <f>IF(ISBLANK(E105),U$19,E105)</f>
        <v>17.2</v>
      </c>
      <c r="K105" s="29">
        <f>IF(ISBLANK(F105),U$20,F105)</f>
        <v>17.899999999999999</v>
      </c>
      <c r="L105" s="29">
        <f>IF(ISBLANK(G105),U$21,G105)</f>
        <v>20.23</v>
      </c>
      <c r="M105" s="29">
        <f>IF(ISBLANK(H105),VLOOKUP(B105,$O$1:$P$9,2,TRUE),H105)</f>
        <v>163</v>
      </c>
    </row>
    <row r="106" spans="1:13" ht="15.75" customHeight="1" x14ac:dyDescent="0.5">
      <c r="A106" s="25">
        <v>105</v>
      </c>
      <c r="B106" s="25">
        <f t="shared" si="4"/>
        <v>5</v>
      </c>
      <c r="C106" s="26">
        <f t="shared" si="0"/>
        <v>45100</v>
      </c>
      <c r="D106" s="27">
        <v>54.64</v>
      </c>
      <c r="E106" s="27">
        <v>34.299999999999997</v>
      </c>
      <c r="F106" s="27">
        <v>5.3</v>
      </c>
      <c r="G106" s="28">
        <v>38.85</v>
      </c>
      <c r="H106" s="27">
        <v>208</v>
      </c>
      <c r="I106" s="29">
        <v>54.64</v>
      </c>
      <c r="J106" s="29">
        <f>IF(ISBLANK(E106),U$19,E106)</f>
        <v>34.299999999999997</v>
      </c>
      <c r="K106" s="29">
        <f>IF(ISBLANK(F106),U$20,F106)</f>
        <v>5.3</v>
      </c>
      <c r="L106" s="29">
        <f>IF(ISBLANK(G106),U$21,G106)</f>
        <v>38.85</v>
      </c>
      <c r="M106" s="29">
        <f>IF(ISBLANK(H106),VLOOKUP(B106,$O$1:$P$9,2,TRUE),H106)</f>
        <v>208</v>
      </c>
    </row>
    <row r="107" spans="1:13" ht="15.75" customHeight="1" x14ac:dyDescent="0.5">
      <c r="A107" s="25">
        <v>106</v>
      </c>
      <c r="B107" s="25">
        <f t="shared" si="4"/>
        <v>6</v>
      </c>
      <c r="C107" s="26">
        <f t="shared" si="0"/>
        <v>45101</v>
      </c>
      <c r="D107" s="27">
        <v>37.58</v>
      </c>
      <c r="E107" s="27">
        <v>46.4</v>
      </c>
      <c r="F107" s="27">
        <v>59</v>
      </c>
      <c r="G107" s="28">
        <v>13.39</v>
      </c>
      <c r="H107" s="27">
        <v>196</v>
      </c>
      <c r="I107" s="29">
        <v>37.58</v>
      </c>
      <c r="J107" s="29">
        <f>IF(ISBLANK(E107),U$19,E107)</f>
        <v>46.4</v>
      </c>
      <c r="K107" s="29">
        <f>IF(ISBLANK(F107),U$20,F107)</f>
        <v>59</v>
      </c>
      <c r="L107" s="29">
        <f>IF(ISBLANK(G107),U$21,G107)</f>
        <v>13.39</v>
      </c>
      <c r="M107" s="29">
        <f>IF(ISBLANK(H107),VLOOKUP(B107,$O$1:$P$9,2,TRUE),H107)</f>
        <v>196</v>
      </c>
    </row>
    <row r="108" spans="1:13" ht="15.75" customHeight="1" x14ac:dyDescent="0.5">
      <c r="A108" s="25">
        <v>107</v>
      </c>
      <c r="B108" s="25">
        <f t="shared" si="4"/>
        <v>7</v>
      </c>
      <c r="C108" s="26">
        <f t="shared" si="0"/>
        <v>45102</v>
      </c>
      <c r="D108" s="27">
        <v>8</v>
      </c>
      <c r="E108" s="27">
        <v>11</v>
      </c>
      <c r="F108" s="27">
        <v>29.7</v>
      </c>
      <c r="G108" s="28">
        <v>16.119999999999997</v>
      </c>
      <c r="H108" s="27">
        <v>86</v>
      </c>
      <c r="I108" s="29">
        <v>8</v>
      </c>
      <c r="J108" s="29">
        <f>IF(ISBLANK(E108),U$19,E108)</f>
        <v>11</v>
      </c>
      <c r="K108" s="29">
        <f>IF(ISBLANK(F108),U$20,F108)</f>
        <v>29.7</v>
      </c>
      <c r="L108" s="29">
        <f>IF(ISBLANK(G108),U$21,G108)</f>
        <v>16.119999999999997</v>
      </c>
      <c r="M108" s="29">
        <f>IF(ISBLANK(H108),VLOOKUP(B108,$O$1:$P$9,2,TRUE),H108)</f>
        <v>86</v>
      </c>
    </row>
    <row r="109" spans="1:13" ht="15.75" customHeight="1" x14ac:dyDescent="0.5">
      <c r="A109" s="25">
        <v>108</v>
      </c>
      <c r="B109" s="25">
        <f t="shared" si="4"/>
        <v>1</v>
      </c>
      <c r="C109" s="26">
        <f t="shared" si="0"/>
        <v>45103</v>
      </c>
      <c r="D109" s="27">
        <v>27.080000000000002</v>
      </c>
      <c r="E109" s="27">
        <v>0.3</v>
      </c>
      <c r="F109" s="27">
        <v>23.2</v>
      </c>
      <c r="G109" s="28">
        <v>19.910000000000004</v>
      </c>
      <c r="H109" s="27">
        <v>104</v>
      </c>
      <c r="I109" s="29">
        <v>27.080000000000002</v>
      </c>
      <c r="J109" s="29">
        <f>IF(ISBLANK(E109),U$19,E109)</f>
        <v>0.3</v>
      </c>
      <c r="K109" s="29">
        <f>IF(ISBLANK(F109),U$20,F109)</f>
        <v>23.2</v>
      </c>
      <c r="L109" s="29">
        <f>IF(ISBLANK(G109),U$21,G109)</f>
        <v>19.910000000000004</v>
      </c>
      <c r="M109" s="29">
        <f>IF(ISBLANK(H109),VLOOKUP(B109,$O$1:$P$9,2,TRUE),H109)</f>
        <v>104</v>
      </c>
    </row>
    <row r="110" spans="1:13" ht="15.75" customHeight="1" x14ac:dyDescent="0.5">
      <c r="A110" s="25">
        <v>109</v>
      </c>
      <c r="B110" s="25">
        <f t="shared" si="4"/>
        <v>2</v>
      </c>
      <c r="C110" s="26">
        <f t="shared" si="0"/>
        <v>45104</v>
      </c>
      <c r="D110" s="27">
        <v>9.620000000000001</v>
      </c>
      <c r="E110" s="27">
        <v>0.4</v>
      </c>
      <c r="F110" s="27">
        <v>25.6</v>
      </c>
      <c r="G110" s="28">
        <v>11.269999999999998</v>
      </c>
      <c r="H110" s="27">
        <v>54</v>
      </c>
      <c r="I110" s="29">
        <v>9.620000000000001</v>
      </c>
      <c r="J110" s="29">
        <f>IF(ISBLANK(E110),U$19,E110)</f>
        <v>0.4</v>
      </c>
      <c r="K110" s="29">
        <f>IF(ISBLANK(F110),U$20,F110)</f>
        <v>25.6</v>
      </c>
      <c r="L110" s="29">
        <f>IF(ISBLANK(G110),U$21,G110)</f>
        <v>11.269999999999998</v>
      </c>
      <c r="M110" s="29">
        <f>IF(ISBLANK(H110),VLOOKUP(B110,$O$1:$P$9,2,TRUE),H110)</f>
        <v>54</v>
      </c>
    </row>
    <row r="111" spans="1:13" ht="15.75" customHeight="1" x14ac:dyDescent="0.5">
      <c r="A111" s="25">
        <v>110</v>
      </c>
      <c r="B111" s="25">
        <f t="shared" si="4"/>
        <v>3</v>
      </c>
      <c r="C111" s="26">
        <f t="shared" si="0"/>
        <v>45105</v>
      </c>
      <c r="D111" s="27">
        <v>53.08</v>
      </c>
      <c r="E111" s="27">
        <v>26.9</v>
      </c>
      <c r="F111" s="27">
        <v>5.5</v>
      </c>
      <c r="G111" s="28">
        <v>36.789999999999992</v>
      </c>
      <c r="H111" s="27"/>
      <c r="I111" s="29">
        <v>53.08</v>
      </c>
      <c r="J111" s="29">
        <f>IF(ISBLANK(E111),U$19,E111)</f>
        <v>26.9</v>
      </c>
      <c r="K111" s="29">
        <f>IF(ISBLANK(F111),U$20,F111)</f>
        <v>5.5</v>
      </c>
      <c r="L111" s="29">
        <f>IF(ISBLANK(G111),U$21,G111)</f>
        <v>36.789999999999992</v>
      </c>
      <c r="M111" s="29">
        <f>IF(ISBLANK(H111),VLOOKUP(B111,$O$1:$P$9,2,TRUE),H111)</f>
        <v>140.72222222222223</v>
      </c>
    </row>
    <row r="112" spans="1:13" ht="15.75" customHeight="1" x14ac:dyDescent="0.5">
      <c r="A112" s="25">
        <v>111</v>
      </c>
      <c r="B112" s="25">
        <f t="shared" si="4"/>
        <v>4</v>
      </c>
      <c r="C112" s="26">
        <f t="shared" si="0"/>
        <v>45106</v>
      </c>
      <c r="D112" s="27">
        <v>54.160000000000004</v>
      </c>
      <c r="E112" s="27">
        <v>8.1999999999999993</v>
      </c>
      <c r="F112" s="27">
        <v>56.5</v>
      </c>
      <c r="G112" s="28">
        <v>4.0799999999999983</v>
      </c>
      <c r="H112" s="27">
        <v>150</v>
      </c>
      <c r="I112" s="29">
        <v>54.160000000000004</v>
      </c>
      <c r="J112" s="29">
        <f>IF(ISBLANK(E112),U$19,E112)</f>
        <v>8.1999999999999993</v>
      </c>
      <c r="K112" s="29">
        <f>IF(ISBLANK(F112),U$20,F112)</f>
        <v>56.5</v>
      </c>
      <c r="L112" s="29">
        <f>IF(ISBLANK(G112),U$21,G112)</f>
        <v>4.0799999999999983</v>
      </c>
      <c r="M112" s="29">
        <f>IF(ISBLANK(H112),VLOOKUP(B112,$O$1:$P$9,2,TRUE),H112)</f>
        <v>150</v>
      </c>
    </row>
    <row r="113" spans="1:13" ht="15.75" customHeight="1" x14ac:dyDescent="0.5">
      <c r="A113" s="25">
        <v>112</v>
      </c>
      <c r="B113" s="25">
        <f t="shared" si="4"/>
        <v>5</v>
      </c>
      <c r="C113" s="26">
        <f t="shared" si="0"/>
        <v>45107</v>
      </c>
      <c r="D113" s="27">
        <v>55.339999999999996</v>
      </c>
      <c r="E113" s="27">
        <v>38</v>
      </c>
      <c r="F113" s="27">
        <v>23.2</v>
      </c>
      <c r="G113" s="28">
        <v>33.89</v>
      </c>
      <c r="H113" s="27">
        <v>221</v>
      </c>
      <c r="I113" s="29">
        <v>55.339999999999996</v>
      </c>
      <c r="J113" s="29">
        <f>IF(ISBLANK(E113),U$19,E113)</f>
        <v>38</v>
      </c>
      <c r="K113" s="29">
        <f>IF(ISBLANK(F113),U$20,F113)</f>
        <v>23.2</v>
      </c>
      <c r="L113" s="29">
        <f>IF(ISBLANK(G113),U$21,G113)</f>
        <v>33.89</v>
      </c>
      <c r="M113" s="29">
        <f>IF(ISBLANK(H113),VLOOKUP(B113,$O$1:$P$9,2,TRUE),H113)</f>
        <v>221</v>
      </c>
    </row>
    <row r="114" spans="1:13" ht="15.75" customHeight="1" x14ac:dyDescent="0.5">
      <c r="A114" s="25">
        <v>113</v>
      </c>
      <c r="B114" s="25">
        <f t="shared" si="4"/>
        <v>6</v>
      </c>
      <c r="C114" s="26">
        <f t="shared" si="0"/>
        <v>45108</v>
      </c>
      <c r="D114" s="27">
        <v>39.14</v>
      </c>
      <c r="E114" s="27">
        <v>15.4</v>
      </c>
      <c r="F114" s="27">
        <v>2.4</v>
      </c>
      <c r="G114" s="28">
        <v>24.31</v>
      </c>
      <c r="H114" s="27">
        <v>159</v>
      </c>
      <c r="I114" s="29">
        <v>39.14</v>
      </c>
      <c r="J114" s="29">
        <f>IF(ISBLANK(E114),U$19,E114)</f>
        <v>15.4</v>
      </c>
      <c r="K114" s="29">
        <f>IF(ISBLANK(F114),U$20,F114)</f>
        <v>2.4</v>
      </c>
      <c r="L114" s="29">
        <f>IF(ISBLANK(G114),U$21,G114)</f>
        <v>24.31</v>
      </c>
      <c r="M114" s="29">
        <f>IF(ISBLANK(H114),VLOOKUP(B114,$O$1:$P$9,2,TRUE),H114)</f>
        <v>159</v>
      </c>
    </row>
    <row r="115" spans="1:13" ht="15.75" customHeight="1" x14ac:dyDescent="0.5">
      <c r="A115" s="25">
        <v>114</v>
      </c>
      <c r="B115" s="25">
        <f t="shared" si="4"/>
        <v>7</v>
      </c>
      <c r="C115" s="26">
        <f t="shared" si="0"/>
        <v>45109</v>
      </c>
      <c r="D115" s="27">
        <v>44.92</v>
      </c>
      <c r="E115" s="27">
        <v>20.6</v>
      </c>
      <c r="F115" s="27">
        <v>10.7</v>
      </c>
      <c r="G115" s="28">
        <v>26.98</v>
      </c>
      <c r="H115" s="27">
        <v>167</v>
      </c>
      <c r="I115" s="29">
        <v>44.92</v>
      </c>
      <c r="J115" s="29">
        <f>IF(ISBLANK(E115),U$19,E115)</f>
        <v>20.6</v>
      </c>
      <c r="K115" s="29">
        <f>IF(ISBLANK(F115),U$20,F115)</f>
        <v>10.7</v>
      </c>
      <c r="L115" s="29">
        <f>IF(ISBLANK(G115),U$21,G115)</f>
        <v>26.98</v>
      </c>
      <c r="M115" s="29">
        <f>IF(ISBLANK(H115),VLOOKUP(B115,$O$1:$P$9,2,TRUE),H115)</f>
        <v>167</v>
      </c>
    </row>
    <row r="116" spans="1:13" ht="15.75" customHeight="1" x14ac:dyDescent="0.5">
      <c r="A116" s="25">
        <v>115</v>
      </c>
      <c r="B116" s="25">
        <f t="shared" si="4"/>
        <v>1</v>
      </c>
      <c r="C116" s="26">
        <f t="shared" si="0"/>
        <v>45110</v>
      </c>
      <c r="D116" s="27">
        <v>18.64</v>
      </c>
      <c r="E116" s="27">
        <v>46.8</v>
      </c>
      <c r="F116" s="27">
        <v>34.5</v>
      </c>
      <c r="G116" s="28">
        <v>17.419999999999998</v>
      </c>
      <c r="H116" s="27">
        <v>152</v>
      </c>
      <c r="I116" s="29">
        <v>18.64</v>
      </c>
      <c r="J116" s="29">
        <f>IF(ISBLANK(E116),U$19,E116)</f>
        <v>46.8</v>
      </c>
      <c r="K116" s="29">
        <f>IF(ISBLANK(F116),U$20,F116)</f>
        <v>34.5</v>
      </c>
      <c r="L116" s="29">
        <f>IF(ISBLANK(G116),U$21,G116)</f>
        <v>17.419999999999998</v>
      </c>
      <c r="M116" s="29">
        <f>IF(ISBLANK(H116),VLOOKUP(B116,$O$1:$P$9,2,TRUE),H116)</f>
        <v>152</v>
      </c>
    </row>
    <row r="117" spans="1:13" ht="15.75" customHeight="1" x14ac:dyDescent="0.5">
      <c r="A117" s="25">
        <v>116</v>
      </c>
      <c r="B117" s="25">
        <f t="shared" si="4"/>
        <v>2</v>
      </c>
      <c r="C117" s="26">
        <f t="shared" si="0"/>
        <v>45111</v>
      </c>
      <c r="D117" s="27">
        <v>24.02</v>
      </c>
      <c r="E117" s="27">
        <v>35</v>
      </c>
      <c r="F117" s="27">
        <v>52.7</v>
      </c>
      <c r="G117" s="28">
        <v>3.9299999999999962</v>
      </c>
      <c r="H117" s="27">
        <v>133</v>
      </c>
      <c r="I117" s="29">
        <v>24.02</v>
      </c>
      <c r="J117" s="29">
        <f>IF(ISBLANK(E117),U$19,E117)</f>
        <v>35</v>
      </c>
      <c r="K117" s="29">
        <f>IF(ISBLANK(F117),U$20,F117)</f>
        <v>52.7</v>
      </c>
      <c r="L117" s="29">
        <f>IF(ISBLANK(G117),U$21,G117)</f>
        <v>3.9299999999999962</v>
      </c>
      <c r="M117" s="29">
        <f>IF(ISBLANK(H117),VLOOKUP(B117,$O$1:$P$9,2,TRUE),H117)</f>
        <v>133</v>
      </c>
    </row>
    <row r="118" spans="1:13" ht="15.75" customHeight="1" x14ac:dyDescent="0.5">
      <c r="A118" s="25">
        <v>117</v>
      </c>
      <c r="B118" s="25">
        <f t="shared" si="4"/>
        <v>3</v>
      </c>
      <c r="C118" s="26">
        <f t="shared" si="0"/>
        <v>45112</v>
      </c>
      <c r="D118" s="27">
        <v>37.839999999999996</v>
      </c>
      <c r="E118" s="27">
        <v>14.3</v>
      </c>
      <c r="F118" s="27">
        <v>25.6</v>
      </c>
      <c r="G118" s="28">
        <v>10.829999999999998</v>
      </c>
      <c r="H118" s="27">
        <v>129</v>
      </c>
      <c r="I118" s="29">
        <v>37.839999999999996</v>
      </c>
      <c r="J118" s="29">
        <f>IF(ISBLANK(E118),U$19,E118)</f>
        <v>14.3</v>
      </c>
      <c r="K118" s="29">
        <f>IF(ISBLANK(F118),U$20,F118)</f>
        <v>25.6</v>
      </c>
      <c r="L118" s="29">
        <f>IF(ISBLANK(G118),U$21,G118)</f>
        <v>10.829999999999998</v>
      </c>
      <c r="M118" s="29">
        <f>IF(ISBLANK(H118),VLOOKUP(B118,$O$1:$P$9,2,TRUE),H118)</f>
        <v>129</v>
      </c>
    </row>
    <row r="119" spans="1:13" ht="15.75" customHeight="1" x14ac:dyDescent="0.5">
      <c r="A119" s="25">
        <v>118</v>
      </c>
      <c r="B119" s="25">
        <f t="shared" si="4"/>
        <v>4</v>
      </c>
      <c r="C119" s="26">
        <f t="shared" si="0"/>
        <v>45113</v>
      </c>
      <c r="D119" s="27">
        <v>25.28</v>
      </c>
      <c r="E119" s="27">
        <v>0.8</v>
      </c>
      <c r="F119" s="27">
        <v>14.8</v>
      </c>
      <c r="G119" s="28">
        <v>2.12</v>
      </c>
      <c r="H119" s="27">
        <v>108</v>
      </c>
      <c r="I119" s="29">
        <v>25.28</v>
      </c>
      <c r="J119" s="29">
        <f>IF(ISBLANK(E119),U$19,E119)</f>
        <v>0.8</v>
      </c>
      <c r="K119" s="29">
        <f>IF(ISBLANK(F119),U$20,F119)</f>
        <v>14.8</v>
      </c>
      <c r="L119" s="29">
        <f>IF(ISBLANK(G119),U$21,G119)</f>
        <v>2.12</v>
      </c>
      <c r="M119" s="29">
        <f>IF(ISBLANK(H119),VLOOKUP(B119,$O$1:$P$9,2,TRUE),H119)</f>
        <v>108</v>
      </c>
    </row>
    <row r="120" spans="1:13" ht="15.75" customHeight="1" x14ac:dyDescent="0.5">
      <c r="A120" s="25">
        <v>119</v>
      </c>
      <c r="B120" s="25">
        <f t="shared" si="4"/>
        <v>5</v>
      </c>
      <c r="C120" s="26">
        <f t="shared" si="0"/>
        <v>45114</v>
      </c>
      <c r="D120" s="27">
        <v>29.14</v>
      </c>
      <c r="E120" s="27">
        <v>36.9</v>
      </c>
      <c r="F120" s="27">
        <v>79.2</v>
      </c>
      <c r="G120" s="28">
        <v>19.339999999999996</v>
      </c>
      <c r="H120" s="27">
        <v>172</v>
      </c>
      <c r="I120" s="29">
        <v>29.14</v>
      </c>
      <c r="J120" s="29">
        <f>IF(ISBLANK(E120),U$19,E120)</f>
        <v>36.9</v>
      </c>
      <c r="K120" s="29">
        <f>IF(ISBLANK(F120),U$20,F120)</f>
        <v>79.2</v>
      </c>
      <c r="L120" s="29">
        <f>IF(ISBLANK(G120),U$21,G120)</f>
        <v>19.339999999999996</v>
      </c>
      <c r="M120" s="29">
        <f>IF(ISBLANK(H120),VLOOKUP(B120,$O$1:$P$9,2,TRUE),H120)</f>
        <v>172</v>
      </c>
    </row>
    <row r="121" spans="1:13" ht="15.75" customHeight="1" x14ac:dyDescent="0.5">
      <c r="A121" s="25">
        <v>120</v>
      </c>
      <c r="B121" s="25">
        <f t="shared" si="4"/>
        <v>6</v>
      </c>
      <c r="C121" s="26">
        <f t="shared" si="0"/>
        <v>45115</v>
      </c>
      <c r="D121" s="27">
        <v>9.879999999999999</v>
      </c>
      <c r="E121" s="27">
        <v>16</v>
      </c>
      <c r="F121" s="27">
        <v>22.3</v>
      </c>
      <c r="G121" s="28">
        <v>1.0199999999999996</v>
      </c>
      <c r="H121" s="27">
        <v>77</v>
      </c>
      <c r="I121" s="29">
        <v>9.879999999999999</v>
      </c>
      <c r="J121" s="29">
        <f>IF(ISBLANK(E121),U$19,E121)</f>
        <v>16</v>
      </c>
      <c r="K121" s="29">
        <f>IF(ISBLANK(F121),U$20,F121)</f>
        <v>22.3</v>
      </c>
      <c r="L121" s="29">
        <f>IF(ISBLANK(G121),U$21,G121)</f>
        <v>1.0199999999999996</v>
      </c>
      <c r="M121" s="29">
        <f>IF(ISBLANK(H121),VLOOKUP(B121,$O$1:$P$9,2,TRUE),H121)</f>
        <v>77</v>
      </c>
    </row>
    <row r="122" spans="1:13" ht="15.75" customHeight="1" x14ac:dyDescent="0.5">
      <c r="A122" s="25">
        <v>121</v>
      </c>
      <c r="B122" s="25">
        <f t="shared" si="4"/>
        <v>7</v>
      </c>
      <c r="C122" s="26">
        <f t="shared" si="0"/>
        <v>45116</v>
      </c>
      <c r="D122" s="27">
        <v>36.260000000000005</v>
      </c>
      <c r="E122" s="27">
        <v>26.8</v>
      </c>
      <c r="F122" s="27">
        <v>46.2</v>
      </c>
      <c r="G122" s="28">
        <v>9.0500000000000007</v>
      </c>
      <c r="H122" s="27">
        <v>163</v>
      </c>
      <c r="I122" s="29">
        <v>36.260000000000005</v>
      </c>
      <c r="J122" s="29">
        <f>IF(ISBLANK(E122),U$19,E122)</f>
        <v>26.8</v>
      </c>
      <c r="K122" s="29">
        <f>IF(ISBLANK(F122),U$20,F122)</f>
        <v>46.2</v>
      </c>
      <c r="L122" s="29">
        <f>IF(ISBLANK(G122),U$21,G122)</f>
        <v>9.0500000000000007</v>
      </c>
      <c r="M122" s="29">
        <f>IF(ISBLANK(H122),VLOOKUP(B122,$O$1:$P$9,2,TRUE),H122)</f>
        <v>163</v>
      </c>
    </row>
    <row r="123" spans="1:13" ht="15.75" customHeight="1" x14ac:dyDescent="0.5">
      <c r="A123" s="25">
        <v>122</v>
      </c>
      <c r="B123" s="25">
        <f t="shared" si="4"/>
        <v>1</v>
      </c>
      <c r="C123" s="26">
        <f t="shared" si="0"/>
        <v>45117</v>
      </c>
      <c r="D123" s="27">
        <v>7.76</v>
      </c>
      <c r="E123" s="27">
        <v>21.7</v>
      </c>
      <c r="F123" s="27">
        <v>50.4</v>
      </c>
      <c r="G123" s="28">
        <v>12.57</v>
      </c>
      <c r="H123" s="27">
        <v>81</v>
      </c>
      <c r="I123" s="29">
        <v>7.76</v>
      </c>
      <c r="J123" s="29">
        <f>IF(ISBLANK(E123),U$19,E123)</f>
        <v>21.7</v>
      </c>
      <c r="K123" s="29">
        <f>IF(ISBLANK(F123),U$20,F123)</f>
        <v>50.4</v>
      </c>
      <c r="L123" s="29">
        <f>IF(ISBLANK(G123),U$21,G123)</f>
        <v>12.57</v>
      </c>
      <c r="M123" s="29">
        <f>IF(ISBLANK(H123),VLOOKUP(B123,$O$1:$P$9,2,TRUE),H123)</f>
        <v>81</v>
      </c>
    </row>
    <row r="124" spans="1:13" ht="15.75" customHeight="1" x14ac:dyDescent="0.5">
      <c r="A124" s="25">
        <v>123</v>
      </c>
      <c r="B124" s="25">
        <f t="shared" si="4"/>
        <v>2</v>
      </c>
      <c r="C124" s="26">
        <f t="shared" si="0"/>
        <v>45118</v>
      </c>
      <c r="D124" s="27">
        <v>45.8</v>
      </c>
      <c r="E124" s="27">
        <v>2.4</v>
      </c>
      <c r="F124" s="27">
        <v>15.6</v>
      </c>
      <c r="G124" s="28">
        <v>17.36</v>
      </c>
      <c r="H124" s="27">
        <v>125</v>
      </c>
      <c r="I124" s="29">
        <v>45.8</v>
      </c>
      <c r="J124" s="29">
        <f>IF(ISBLANK(E124),U$19,E124)</f>
        <v>2.4</v>
      </c>
      <c r="K124" s="29">
        <f>IF(ISBLANK(F124),U$20,F124)</f>
        <v>15.6</v>
      </c>
      <c r="L124" s="29">
        <f>IF(ISBLANK(G124),U$21,G124)</f>
        <v>17.36</v>
      </c>
      <c r="M124" s="29">
        <f>IF(ISBLANK(H124),VLOOKUP(B124,$O$1:$P$9,2,TRUE),H124)</f>
        <v>125</v>
      </c>
    </row>
    <row r="125" spans="1:13" ht="15.75" customHeight="1" x14ac:dyDescent="0.5">
      <c r="A125" s="25">
        <v>124</v>
      </c>
      <c r="B125" s="25">
        <f t="shared" si="4"/>
        <v>3</v>
      </c>
      <c r="C125" s="26">
        <f t="shared" si="0"/>
        <v>45119</v>
      </c>
      <c r="D125" s="27">
        <v>33.619999999999997</v>
      </c>
      <c r="E125" s="27">
        <v>34.6</v>
      </c>
      <c r="F125" s="27">
        <v>12.4</v>
      </c>
      <c r="G125" s="28">
        <v>24.65</v>
      </c>
      <c r="H125" s="27">
        <v>171</v>
      </c>
      <c r="I125" s="29">
        <v>33.619999999999997</v>
      </c>
      <c r="J125" s="29">
        <f>IF(ISBLANK(E125),U$19,E125)</f>
        <v>34.6</v>
      </c>
      <c r="K125" s="29">
        <f>IF(ISBLANK(F125),U$20,F125)</f>
        <v>12.4</v>
      </c>
      <c r="L125" s="29">
        <f>IF(ISBLANK(G125),U$21,G125)</f>
        <v>24.65</v>
      </c>
      <c r="M125" s="29">
        <f>IF(ISBLANK(H125),VLOOKUP(B125,$O$1:$P$9,2,TRUE),H125)</f>
        <v>171</v>
      </c>
    </row>
    <row r="126" spans="1:13" ht="15.75" customHeight="1" x14ac:dyDescent="0.5">
      <c r="A126" s="25">
        <v>125</v>
      </c>
      <c r="B126" s="25">
        <f t="shared" si="4"/>
        <v>4</v>
      </c>
      <c r="C126" s="26">
        <f t="shared" si="0"/>
        <v>45120</v>
      </c>
      <c r="D126" s="27">
        <v>51.9</v>
      </c>
      <c r="E126" s="27">
        <v>32.299999999999997</v>
      </c>
      <c r="F126" s="27">
        <v>74.2</v>
      </c>
      <c r="G126" s="28">
        <v>9.419999999999991</v>
      </c>
      <c r="H126" s="27">
        <v>201</v>
      </c>
      <c r="I126" s="29">
        <v>51.9</v>
      </c>
      <c r="J126" s="29">
        <f>IF(ISBLANK(E126),U$19,E126)</f>
        <v>32.299999999999997</v>
      </c>
      <c r="K126" s="29">
        <f>IF(ISBLANK(F126),U$20,F126)</f>
        <v>74.2</v>
      </c>
      <c r="L126" s="29">
        <f>IF(ISBLANK(G126),U$21,G126)</f>
        <v>9.419999999999991</v>
      </c>
      <c r="M126" s="29">
        <f>IF(ISBLANK(H126),VLOOKUP(B126,$O$1:$P$9,2,TRUE),H126)</f>
        <v>201</v>
      </c>
    </row>
    <row r="127" spans="1:13" ht="15.75" customHeight="1" x14ac:dyDescent="0.5">
      <c r="A127" s="25">
        <v>126</v>
      </c>
      <c r="B127" s="25">
        <f t="shared" si="4"/>
        <v>5</v>
      </c>
      <c r="C127" s="26">
        <f t="shared" si="0"/>
        <v>45121</v>
      </c>
      <c r="D127" s="27">
        <v>18.440000000000001</v>
      </c>
      <c r="E127" s="27">
        <v>11.8</v>
      </c>
      <c r="F127" s="27">
        <v>25.9</v>
      </c>
      <c r="G127" s="28">
        <v>4.2600000000000016</v>
      </c>
      <c r="H127" s="27">
        <v>126</v>
      </c>
      <c r="I127" s="29">
        <v>18.440000000000001</v>
      </c>
      <c r="J127" s="29">
        <f>IF(ISBLANK(E127),U$19,E127)</f>
        <v>11.8</v>
      </c>
      <c r="K127" s="29">
        <f>IF(ISBLANK(F127),U$20,F127)</f>
        <v>25.9</v>
      </c>
      <c r="L127" s="29">
        <f>IF(ISBLANK(G127),U$21,G127)</f>
        <v>4.2600000000000016</v>
      </c>
      <c r="M127" s="29">
        <f>IF(ISBLANK(H127),VLOOKUP(B127,$O$1:$P$9,2,TRUE),H127)</f>
        <v>126</v>
      </c>
    </row>
    <row r="128" spans="1:13" ht="15.75" customHeight="1" x14ac:dyDescent="0.5">
      <c r="A128" s="25">
        <v>127</v>
      </c>
      <c r="B128" s="25">
        <f t="shared" si="4"/>
        <v>6</v>
      </c>
      <c r="C128" s="26">
        <f t="shared" si="0"/>
        <v>45122</v>
      </c>
      <c r="D128" s="27">
        <v>8.56</v>
      </c>
      <c r="E128" s="27">
        <v>38.9</v>
      </c>
      <c r="F128" s="27">
        <v>50.6</v>
      </c>
      <c r="G128" s="28">
        <v>19.989999999999998</v>
      </c>
      <c r="H128" s="27">
        <v>78</v>
      </c>
      <c r="I128" s="29">
        <v>8.56</v>
      </c>
      <c r="J128" s="29">
        <f>IF(ISBLANK(E128),U$19,E128)</f>
        <v>38.9</v>
      </c>
      <c r="K128" s="29">
        <f>IF(ISBLANK(F128),U$20,F128)</f>
        <v>50.6</v>
      </c>
      <c r="L128" s="29">
        <f>IF(ISBLANK(G128),U$21,G128)</f>
        <v>19.989999999999998</v>
      </c>
      <c r="M128" s="29">
        <f>IF(ISBLANK(H128),VLOOKUP(B128,$O$1:$P$9,2,TRUE),H128)</f>
        <v>78</v>
      </c>
    </row>
    <row r="129" spans="1:13" ht="15.75" customHeight="1" x14ac:dyDescent="0.5">
      <c r="A129" s="25">
        <v>128</v>
      </c>
      <c r="B129" s="25">
        <f t="shared" si="4"/>
        <v>7</v>
      </c>
      <c r="C129" s="26">
        <f t="shared" si="0"/>
        <v>45123</v>
      </c>
      <c r="D129" s="27">
        <v>71.06</v>
      </c>
      <c r="E129" s="27"/>
      <c r="F129" s="27">
        <v>9.1999999999999993</v>
      </c>
      <c r="G129" s="28">
        <v>31.35</v>
      </c>
      <c r="H129" s="27">
        <v>92</v>
      </c>
      <c r="I129" s="29">
        <v>71.06</v>
      </c>
      <c r="J129" s="29">
        <f>IF(ISBLANK(E129),U$19,E129)</f>
        <v>23.450000000000003</v>
      </c>
      <c r="K129" s="29">
        <f>IF(ISBLANK(F129),U$20,F129)</f>
        <v>9.1999999999999993</v>
      </c>
      <c r="L129" s="29">
        <f>IF(ISBLANK(G129),U$21,G129)</f>
        <v>31.35</v>
      </c>
      <c r="M129" s="29">
        <f>IF(ISBLANK(H129),VLOOKUP(B129,$O$1:$P$9,2,TRUE),H129)</f>
        <v>92</v>
      </c>
    </row>
    <row r="130" spans="1:13" ht="15.75" customHeight="1" x14ac:dyDescent="0.5">
      <c r="A130" s="25">
        <v>129</v>
      </c>
      <c r="B130" s="25">
        <f t="shared" si="4"/>
        <v>1</v>
      </c>
      <c r="C130" s="26">
        <f t="shared" si="0"/>
        <v>45124</v>
      </c>
      <c r="D130" s="27">
        <v>54.06</v>
      </c>
      <c r="E130" s="27">
        <v>49</v>
      </c>
      <c r="F130" s="27">
        <v>3.2</v>
      </c>
      <c r="G130" s="28">
        <v>45.25</v>
      </c>
      <c r="H130" s="27">
        <v>264</v>
      </c>
      <c r="I130" s="29">
        <v>54.06</v>
      </c>
      <c r="J130" s="29">
        <f>IF(ISBLANK(E130),U$19,E130)</f>
        <v>49</v>
      </c>
      <c r="K130" s="29">
        <f>IF(ISBLANK(F130),U$20,F130)</f>
        <v>3.2</v>
      </c>
      <c r="L130" s="29">
        <f>IF(ISBLANK(G130),U$21,G130)</f>
        <v>45.25</v>
      </c>
      <c r="M130" s="29">
        <f>IF(ISBLANK(H130),VLOOKUP(B130,$O$1:$P$9,2,TRUE),H130)</f>
        <v>264</v>
      </c>
    </row>
    <row r="131" spans="1:13" ht="15.75" customHeight="1" x14ac:dyDescent="0.5">
      <c r="A131" s="25">
        <v>130</v>
      </c>
      <c r="B131" s="25">
        <f t="shared" ref="B131:B194" si="5">WEEKDAY(C131,2)</f>
        <v>2</v>
      </c>
      <c r="C131" s="26">
        <f t="shared" si="0"/>
        <v>45125</v>
      </c>
      <c r="D131" s="27">
        <v>18.920000000000002</v>
      </c>
      <c r="E131" s="27">
        <v>12</v>
      </c>
      <c r="F131" s="27">
        <v>43.1</v>
      </c>
      <c r="G131" s="28">
        <v>14.719999999999999</v>
      </c>
      <c r="H131" s="27">
        <v>116</v>
      </c>
      <c r="I131" s="29">
        <v>18.920000000000002</v>
      </c>
      <c r="J131" s="29">
        <f>IF(ISBLANK(E131),U$19,E131)</f>
        <v>12</v>
      </c>
      <c r="K131" s="29">
        <f>IF(ISBLANK(F131),U$20,F131)</f>
        <v>43.1</v>
      </c>
      <c r="L131" s="29">
        <f>IF(ISBLANK(G131),U$21,G131)</f>
        <v>14.719999999999999</v>
      </c>
      <c r="M131" s="29">
        <f>IF(ISBLANK(H131),VLOOKUP(B131,$O$1:$P$9,2,TRUE),H131)</f>
        <v>116</v>
      </c>
    </row>
    <row r="132" spans="1:13" ht="15.75" customHeight="1" x14ac:dyDescent="0.5">
      <c r="A132" s="25">
        <v>131</v>
      </c>
      <c r="B132" s="25">
        <f t="shared" si="5"/>
        <v>3</v>
      </c>
      <c r="C132" s="26">
        <f t="shared" si="0"/>
        <v>45126</v>
      </c>
      <c r="D132" s="27">
        <v>6</v>
      </c>
      <c r="E132" s="27">
        <v>39.6</v>
      </c>
      <c r="F132" s="27">
        <v>8.6999999999999993</v>
      </c>
      <c r="G132" s="28">
        <v>111</v>
      </c>
      <c r="H132" s="27">
        <v>28</v>
      </c>
      <c r="I132" s="29">
        <v>6</v>
      </c>
      <c r="J132" s="29">
        <f>IF(ISBLANK(E132),U$19,E132)</f>
        <v>39.6</v>
      </c>
      <c r="K132" s="29">
        <f>IF(ISBLANK(F132),U$20,F132)</f>
        <v>8.6999999999999993</v>
      </c>
      <c r="L132" s="29">
        <f>IF(ISBLANK(G132),U$21,G132)</f>
        <v>111</v>
      </c>
      <c r="M132" s="29">
        <f>IF(ISBLANK(H132),VLOOKUP(B132,$O$1:$P$9,2,TRUE),H132)</f>
        <v>28</v>
      </c>
    </row>
    <row r="133" spans="1:13" ht="15.75" customHeight="1" x14ac:dyDescent="0.5">
      <c r="A133" s="25">
        <v>132</v>
      </c>
      <c r="B133" s="25">
        <f t="shared" si="5"/>
        <v>4</v>
      </c>
      <c r="C133" s="26">
        <f t="shared" si="0"/>
        <v>45127</v>
      </c>
      <c r="D133" s="27">
        <v>55.04</v>
      </c>
      <c r="E133" s="27">
        <v>2.9</v>
      </c>
      <c r="F133" s="27">
        <v>43</v>
      </c>
      <c r="G133" s="28">
        <v>10.77</v>
      </c>
      <c r="H133" s="27">
        <v>147</v>
      </c>
      <c r="I133" s="29">
        <v>55.04</v>
      </c>
      <c r="J133" s="29">
        <f>IF(ISBLANK(E133),U$19,E133)</f>
        <v>2.9</v>
      </c>
      <c r="K133" s="29">
        <f>IF(ISBLANK(F133),U$20,F133)</f>
        <v>43</v>
      </c>
      <c r="L133" s="29">
        <f>IF(ISBLANK(G133),U$21,G133)</f>
        <v>10.77</v>
      </c>
      <c r="M133" s="29">
        <f>IF(ISBLANK(H133),VLOOKUP(B133,$O$1:$P$9,2,TRUE),H133)</f>
        <v>147</v>
      </c>
    </row>
    <row r="134" spans="1:13" ht="15.75" customHeight="1" x14ac:dyDescent="0.5">
      <c r="A134" s="25">
        <v>133</v>
      </c>
      <c r="B134" s="25">
        <f t="shared" si="5"/>
        <v>5</v>
      </c>
      <c r="C134" s="26">
        <f t="shared" si="0"/>
        <v>45128</v>
      </c>
      <c r="D134" s="27">
        <v>5.68</v>
      </c>
      <c r="E134" s="27">
        <v>27.2</v>
      </c>
      <c r="F134" s="27">
        <v>2.1</v>
      </c>
      <c r="G134" s="28">
        <v>13.6</v>
      </c>
      <c r="H134" s="27">
        <v>71</v>
      </c>
      <c r="I134" s="29">
        <v>5.68</v>
      </c>
      <c r="J134" s="29">
        <f>IF(ISBLANK(E134),U$19,E134)</f>
        <v>27.2</v>
      </c>
      <c r="K134" s="29">
        <f>IF(ISBLANK(F134),U$20,F134)</f>
        <v>2.1</v>
      </c>
      <c r="L134" s="29">
        <f>IF(ISBLANK(G134),U$21,G134)</f>
        <v>13.6</v>
      </c>
      <c r="M134" s="29">
        <f>IF(ISBLANK(H134),VLOOKUP(B134,$O$1:$P$9,2,TRUE),H134)</f>
        <v>71</v>
      </c>
    </row>
    <row r="135" spans="1:13" ht="15.75" customHeight="1" x14ac:dyDescent="0.5">
      <c r="A135" s="25">
        <v>134</v>
      </c>
      <c r="B135" s="25">
        <f t="shared" si="5"/>
        <v>6</v>
      </c>
      <c r="C135" s="26">
        <f t="shared" si="0"/>
        <v>45129</v>
      </c>
      <c r="D135" s="27">
        <v>45.96</v>
      </c>
      <c r="E135" s="27">
        <v>33.5</v>
      </c>
      <c r="F135" s="27">
        <v>45.1</v>
      </c>
      <c r="G135" s="28">
        <v>20.69</v>
      </c>
      <c r="H135" s="27"/>
      <c r="I135" s="29">
        <v>45.96</v>
      </c>
      <c r="J135" s="29">
        <f>IF(ISBLANK(E135),U$19,E135)</f>
        <v>33.5</v>
      </c>
      <c r="K135" s="29">
        <f>IF(ISBLANK(F135),U$20,F135)</f>
        <v>45.1</v>
      </c>
      <c r="L135" s="29">
        <f>IF(ISBLANK(G135),U$21,G135)</f>
        <v>20.69</v>
      </c>
      <c r="M135" s="29">
        <f>IF(ISBLANK(H135),VLOOKUP(B135,$O$1:$P$9,2,TRUE),H135)</f>
        <v>164.45535714285714</v>
      </c>
    </row>
    <row r="136" spans="1:13" ht="15.75" customHeight="1" x14ac:dyDescent="0.5">
      <c r="A136" s="25">
        <v>135</v>
      </c>
      <c r="B136" s="25">
        <f t="shared" si="5"/>
        <v>7</v>
      </c>
      <c r="C136" s="26">
        <f t="shared" si="0"/>
        <v>45130</v>
      </c>
      <c r="D136" s="27">
        <v>14.379999999999999</v>
      </c>
      <c r="E136" s="27">
        <v>38.6</v>
      </c>
      <c r="F136" s="27">
        <v>65.599999999999994</v>
      </c>
      <c r="G136" s="28">
        <v>16.750000000000004</v>
      </c>
      <c r="H136" s="27">
        <v>124</v>
      </c>
      <c r="I136" s="29">
        <v>14.379999999999999</v>
      </c>
      <c r="J136" s="29">
        <f>IF(ISBLANK(E136),U$19,E136)</f>
        <v>38.6</v>
      </c>
      <c r="K136" s="29">
        <f>IF(ISBLANK(F136),U$20,F136)</f>
        <v>65.599999999999994</v>
      </c>
      <c r="L136" s="29">
        <f>IF(ISBLANK(G136),U$21,G136)</f>
        <v>16.750000000000004</v>
      </c>
      <c r="M136" s="29">
        <f>IF(ISBLANK(H136),VLOOKUP(B136,$O$1:$P$9,2,TRUE),H136)</f>
        <v>124</v>
      </c>
    </row>
    <row r="137" spans="1:13" ht="15.75" customHeight="1" x14ac:dyDescent="0.5">
      <c r="A137" s="25">
        <v>136</v>
      </c>
      <c r="B137" s="25">
        <f t="shared" si="5"/>
        <v>1</v>
      </c>
      <c r="C137" s="26">
        <f t="shared" si="0"/>
        <v>45131</v>
      </c>
      <c r="D137" s="27">
        <v>14.66</v>
      </c>
      <c r="E137" s="27">
        <v>47</v>
      </c>
      <c r="F137" s="27">
        <v>8.5</v>
      </c>
      <c r="G137" s="28">
        <v>24.93</v>
      </c>
      <c r="H137" s="27">
        <v>124</v>
      </c>
      <c r="I137" s="29">
        <v>14.66</v>
      </c>
      <c r="J137" s="29">
        <f>IF(ISBLANK(E137),U$19,E137)</f>
        <v>47</v>
      </c>
      <c r="K137" s="29">
        <f>IF(ISBLANK(F137),U$20,F137)</f>
        <v>8.5</v>
      </c>
      <c r="L137" s="29">
        <f>IF(ISBLANK(G137),U$21,G137)</f>
        <v>24.93</v>
      </c>
      <c r="M137" s="29">
        <f>IF(ISBLANK(H137),VLOOKUP(B137,$O$1:$P$9,2,TRUE),H137)</f>
        <v>124</v>
      </c>
    </row>
    <row r="138" spans="1:13" ht="15.75" customHeight="1" x14ac:dyDescent="0.5">
      <c r="A138" s="25">
        <v>137</v>
      </c>
      <c r="B138" s="25">
        <f t="shared" si="5"/>
        <v>2</v>
      </c>
      <c r="C138" s="26">
        <f t="shared" si="0"/>
        <v>45132</v>
      </c>
      <c r="D138" s="27">
        <v>10.120000000000001</v>
      </c>
      <c r="E138" s="27">
        <v>39</v>
      </c>
      <c r="F138" s="27">
        <v>9.3000000000000007</v>
      </c>
      <c r="G138" s="28">
        <v>18.339999999999996</v>
      </c>
      <c r="H138" s="27">
        <v>98</v>
      </c>
      <c r="I138" s="29">
        <v>10.120000000000001</v>
      </c>
      <c r="J138" s="29">
        <f>IF(ISBLANK(E138),U$19,E138)</f>
        <v>39</v>
      </c>
      <c r="K138" s="29">
        <f>IF(ISBLANK(F138),U$20,F138)</f>
        <v>9.3000000000000007</v>
      </c>
      <c r="L138" s="29">
        <f>IF(ISBLANK(G138),U$21,G138)</f>
        <v>18.339999999999996</v>
      </c>
      <c r="M138" s="29">
        <f>IF(ISBLANK(H138),VLOOKUP(B138,$O$1:$P$9,2,TRUE),H138)</f>
        <v>98</v>
      </c>
    </row>
    <row r="139" spans="1:13" ht="15.75" customHeight="1" x14ac:dyDescent="0.5">
      <c r="A139" s="25">
        <v>138</v>
      </c>
      <c r="B139" s="25">
        <f t="shared" si="5"/>
        <v>3</v>
      </c>
      <c r="C139" s="26">
        <f t="shared" si="0"/>
        <v>45133</v>
      </c>
      <c r="D139" s="27">
        <v>58.739999999999995</v>
      </c>
      <c r="E139" s="27">
        <v>28.9</v>
      </c>
      <c r="F139" s="27">
        <v>59.7</v>
      </c>
      <c r="G139" s="28">
        <v>17.939999999999991</v>
      </c>
      <c r="H139" s="27">
        <v>210</v>
      </c>
      <c r="I139" s="29">
        <v>58.739999999999995</v>
      </c>
      <c r="J139" s="29">
        <f>IF(ISBLANK(E139),U$19,E139)</f>
        <v>28.9</v>
      </c>
      <c r="K139" s="29">
        <f>IF(ISBLANK(F139),U$20,F139)</f>
        <v>59.7</v>
      </c>
      <c r="L139" s="29">
        <f>IF(ISBLANK(G139),U$21,G139)</f>
        <v>17.939999999999991</v>
      </c>
      <c r="M139" s="29">
        <f>IF(ISBLANK(H139),VLOOKUP(B139,$O$1:$P$9,2,TRUE),H139)</f>
        <v>210</v>
      </c>
    </row>
    <row r="140" spans="1:13" ht="15.75" customHeight="1" x14ac:dyDescent="0.5">
      <c r="A140" s="25">
        <v>139</v>
      </c>
      <c r="B140" s="25">
        <f t="shared" si="5"/>
        <v>4</v>
      </c>
      <c r="C140" s="26">
        <f t="shared" si="0"/>
        <v>45134</v>
      </c>
      <c r="D140" s="27">
        <v>9.6</v>
      </c>
      <c r="E140" s="27">
        <v>25.9</v>
      </c>
      <c r="F140" s="27">
        <v>20.5</v>
      </c>
      <c r="G140" s="28">
        <v>9.0499999999999989</v>
      </c>
      <c r="H140" s="27">
        <v>109</v>
      </c>
      <c r="I140" s="29">
        <v>9.6</v>
      </c>
      <c r="J140" s="29">
        <f>IF(ISBLANK(E140),U$19,E140)</f>
        <v>25.9</v>
      </c>
      <c r="K140" s="29">
        <f>IF(ISBLANK(F140),U$20,F140)</f>
        <v>20.5</v>
      </c>
      <c r="L140" s="29">
        <f>IF(ISBLANK(G140),U$21,G140)</f>
        <v>9.0499999999999989</v>
      </c>
      <c r="M140" s="29">
        <f>IF(ISBLANK(H140),VLOOKUP(B140,$O$1:$P$9,2,TRUE),H140)</f>
        <v>109</v>
      </c>
    </row>
    <row r="141" spans="1:13" ht="15.75" customHeight="1" x14ac:dyDescent="0.5">
      <c r="A141" s="25">
        <v>140</v>
      </c>
      <c r="B141" s="25">
        <f t="shared" si="5"/>
        <v>5</v>
      </c>
      <c r="C141" s="26">
        <f t="shared" si="0"/>
        <v>45135</v>
      </c>
      <c r="D141" s="27">
        <v>196.98</v>
      </c>
      <c r="E141" s="27">
        <v>43.9</v>
      </c>
      <c r="F141" s="27">
        <v>1.7</v>
      </c>
      <c r="G141" s="28">
        <v>39.76</v>
      </c>
      <c r="H141" s="27">
        <v>227</v>
      </c>
      <c r="I141" s="29">
        <v>196.98</v>
      </c>
      <c r="J141" s="29">
        <f>IF(ISBLANK(E141),U$19,E141)</f>
        <v>43.9</v>
      </c>
      <c r="K141" s="29">
        <f>IF(ISBLANK(F141),U$20,F141)</f>
        <v>1.7</v>
      </c>
      <c r="L141" s="29">
        <f>IF(ISBLANK(G141),U$21,G141)</f>
        <v>39.76</v>
      </c>
      <c r="M141" s="29">
        <f>IF(ISBLANK(H141),VLOOKUP(B141,$O$1:$P$9,2,TRUE),H141)</f>
        <v>227</v>
      </c>
    </row>
    <row r="142" spans="1:13" ht="15.75" customHeight="1" x14ac:dyDescent="0.5">
      <c r="A142" s="25">
        <v>141</v>
      </c>
      <c r="B142" s="25">
        <f t="shared" si="5"/>
        <v>6</v>
      </c>
      <c r="C142" s="26">
        <f t="shared" si="0"/>
        <v>45136</v>
      </c>
      <c r="D142" s="27"/>
      <c r="E142" s="27">
        <v>17</v>
      </c>
      <c r="F142" s="27">
        <v>12.9</v>
      </c>
      <c r="G142" s="28">
        <v>10.68</v>
      </c>
      <c r="H142" s="27">
        <v>113</v>
      </c>
      <c r="I142" s="29">
        <v>20.910000000000004</v>
      </c>
      <c r="J142" s="29">
        <f>IF(ISBLANK(E142),U$19,E142)</f>
        <v>17</v>
      </c>
      <c r="K142" s="29">
        <f>IF(ISBLANK(F142),U$20,F142)</f>
        <v>12.9</v>
      </c>
      <c r="L142" s="29">
        <f>IF(ISBLANK(G142),U$21,G142)</f>
        <v>10.68</v>
      </c>
      <c r="M142" s="29">
        <f>IF(ISBLANK(H142),VLOOKUP(B142,$O$1:$P$9,2,TRUE),H142)</f>
        <v>113</v>
      </c>
    </row>
    <row r="143" spans="1:13" ht="15.75" customHeight="1" x14ac:dyDescent="0.5">
      <c r="A143" s="25">
        <v>142</v>
      </c>
      <c r="B143" s="25">
        <f t="shared" si="5"/>
        <v>7</v>
      </c>
      <c r="C143" s="26">
        <f t="shared" si="0"/>
        <v>45137</v>
      </c>
      <c r="D143" s="27"/>
      <c r="E143" s="27">
        <v>35.4</v>
      </c>
      <c r="F143" s="27">
        <v>75.599999999999994</v>
      </c>
      <c r="G143" s="28">
        <v>6.8299999999999947</v>
      </c>
      <c r="H143" s="27">
        <v>207</v>
      </c>
      <c r="I143" s="29">
        <v>49.443333333333328</v>
      </c>
      <c r="J143" s="29">
        <f>IF(ISBLANK(E143),U$19,E143)</f>
        <v>35.4</v>
      </c>
      <c r="K143" s="29">
        <f>IF(ISBLANK(F143),U$20,F143)</f>
        <v>75.599999999999994</v>
      </c>
      <c r="L143" s="29">
        <f>IF(ISBLANK(G143),U$21,G143)</f>
        <v>6.8299999999999947</v>
      </c>
      <c r="M143" s="29">
        <f>IF(ISBLANK(H143),VLOOKUP(B143,$O$1:$P$9,2,TRUE),H143)</f>
        <v>207</v>
      </c>
    </row>
    <row r="144" spans="1:13" ht="15.75" customHeight="1" x14ac:dyDescent="0.5">
      <c r="A144" s="25">
        <v>143</v>
      </c>
      <c r="B144" s="25">
        <f t="shared" si="5"/>
        <v>1</v>
      </c>
      <c r="C144" s="26">
        <f t="shared" si="0"/>
        <v>45138</v>
      </c>
      <c r="D144" s="27">
        <v>50.1</v>
      </c>
      <c r="E144" s="27">
        <v>33.200000000000003</v>
      </c>
      <c r="F144" s="27">
        <v>37.9</v>
      </c>
      <c r="G144" s="28">
        <v>23.490000000000006</v>
      </c>
      <c r="H144" s="27">
        <v>218</v>
      </c>
      <c r="I144" s="29">
        <v>50.1</v>
      </c>
      <c r="J144" s="29">
        <f>IF(ISBLANK(E144),U$19,E144)</f>
        <v>33.200000000000003</v>
      </c>
      <c r="K144" s="29">
        <f>IF(ISBLANK(F144),U$20,F144)</f>
        <v>37.9</v>
      </c>
      <c r="L144" s="29">
        <f>IF(ISBLANK(G144),U$21,G144)</f>
        <v>23.490000000000006</v>
      </c>
      <c r="M144" s="29">
        <f>IF(ISBLANK(H144),VLOOKUP(B144,$O$1:$P$9,2,TRUE),H144)</f>
        <v>218</v>
      </c>
    </row>
    <row r="145" spans="1:13" ht="15.75" customHeight="1" x14ac:dyDescent="0.5">
      <c r="A145" s="25">
        <v>144</v>
      </c>
      <c r="B145" s="25">
        <f t="shared" si="5"/>
        <v>2</v>
      </c>
      <c r="C145" s="26">
        <f t="shared" si="0"/>
        <v>45139</v>
      </c>
      <c r="D145" s="27">
        <v>28.919999999999998</v>
      </c>
      <c r="E145" s="27">
        <v>5.7</v>
      </c>
      <c r="F145" s="27">
        <v>34.4</v>
      </c>
      <c r="G145" s="28">
        <v>19.549999999999997</v>
      </c>
      <c r="H145" s="27"/>
      <c r="I145" s="29">
        <v>28.919999999999998</v>
      </c>
      <c r="J145" s="29">
        <f>IF(ISBLANK(E145),U$19,E145)</f>
        <v>5.7</v>
      </c>
      <c r="K145" s="29">
        <f>IF(ISBLANK(F145),U$20,F145)</f>
        <v>34.4</v>
      </c>
      <c r="L145" s="29">
        <f>IF(ISBLANK(G145),U$21,G145)</f>
        <v>19.549999999999997</v>
      </c>
      <c r="M145" s="29">
        <f>IF(ISBLANK(H145),VLOOKUP(B145,$O$1:$P$9,2,TRUE),H145)</f>
        <v>144.14285714285714</v>
      </c>
    </row>
    <row r="146" spans="1:13" ht="15.75" customHeight="1" x14ac:dyDescent="0.5">
      <c r="A146" s="25">
        <v>145</v>
      </c>
      <c r="B146" s="25">
        <f t="shared" si="5"/>
        <v>3</v>
      </c>
      <c r="C146" s="26">
        <f t="shared" si="0"/>
        <v>45140</v>
      </c>
      <c r="D146" s="27">
        <v>29.240000000000002</v>
      </c>
      <c r="E146" s="27">
        <v>14.8</v>
      </c>
      <c r="F146" s="27">
        <v>38.9</v>
      </c>
      <c r="G146" s="28">
        <v>1.4600000000000026</v>
      </c>
      <c r="H146" s="27">
        <v>127</v>
      </c>
      <c r="I146" s="29">
        <v>29.240000000000002</v>
      </c>
      <c r="J146" s="29">
        <f>IF(ISBLANK(E146),U$19,E146)</f>
        <v>14.8</v>
      </c>
      <c r="K146" s="29">
        <f>IF(ISBLANK(F146),U$20,F146)</f>
        <v>38.9</v>
      </c>
      <c r="L146" s="29">
        <f>IF(ISBLANK(G146),U$21,G146)</f>
        <v>1.4600000000000026</v>
      </c>
      <c r="M146" s="29">
        <f>IF(ISBLANK(H146),VLOOKUP(B146,$O$1:$P$9,2,TRUE),H146)</f>
        <v>127</v>
      </c>
    </row>
    <row r="147" spans="1:13" ht="15.75" customHeight="1" x14ac:dyDescent="0.5">
      <c r="A147" s="25">
        <v>146</v>
      </c>
      <c r="B147" s="25">
        <f t="shared" si="5"/>
        <v>4</v>
      </c>
      <c r="C147" s="26">
        <f t="shared" si="0"/>
        <v>45141</v>
      </c>
      <c r="D147" s="27">
        <v>31.060000000000002</v>
      </c>
      <c r="E147" s="27">
        <v>1.9</v>
      </c>
      <c r="F147" s="27">
        <v>9</v>
      </c>
      <c r="G147" s="28">
        <v>11.38</v>
      </c>
      <c r="H147" s="27">
        <v>123</v>
      </c>
      <c r="I147" s="29">
        <v>31.060000000000002</v>
      </c>
      <c r="J147" s="29">
        <f>IF(ISBLANK(E147),U$19,E147)</f>
        <v>1.9</v>
      </c>
      <c r="K147" s="29">
        <f>IF(ISBLANK(F147),U$20,F147)</f>
        <v>9</v>
      </c>
      <c r="L147" s="29">
        <f>IF(ISBLANK(G147),U$21,G147)</f>
        <v>11.38</v>
      </c>
      <c r="M147" s="29">
        <f>IF(ISBLANK(H147),VLOOKUP(B147,$O$1:$P$9,2,TRUE),H147)</f>
        <v>123</v>
      </c>
    </row>
    <row r="148" spans="1:13" ht="15.75" customHeight="1" x14ac:dyDescent="0.5">
      <c r="A148" s="25">
        <v>147</v>
      </c>
      <c r="B148" s="25">
        <f t="shared" si="5"/>
        <v>5</v>
      </c>
      <c r="C148" s="26">
        <f t="shared" si="0"/>
        <v>45142</v>
      </c>
      <c r="D148" s="27">
        <v>55.019999999999996</v>
      </c>
      <c r="E148" s="27">
        <v>7.3</v>
      </c>
      <c r="F148" s="27">
        <v>8.6999999999999993</v>
      </c>
      <c r="G148" s="28">
        <v>24.179999999999996</v>
      </c>
      <c r="H148" s="27">
        <v>142</v>
      </c>
      <c r="I148" s="29">
        <v>55.019999999999996</v>
      </c>
      <c r="J148" s="29">
        <f>IF(ISBLANK(E148),U$19,E148)</f>
        <v>7.3</v>
      </c>
      <c r="K148" s="29">
        <f>IF(ISBLANK(F148),U$20,F148)</f>
        <v>8.6999999999999993</v>
      </c>
      <c r="L148" s="29">
        <f>IF(ISBLANK(G148),U$21,G148)</f>
        <v>24.179999999999996</v>
      </c>
      <c r="M148" s="29">
        <f>IF(ISBLANK(H148),VLOOKUP(B148,$O$1:$P$9,2,TRUE),H148)</f>
        <v>142</v>
      </c>
    </row>
    <row r="149" spans="1:13" ht="15.75" customHeight="1" x14ac:dyDescent="0.5">
      <c r="A149" s="25">
        <v>148</v>
      </c>
      <c r="B149" s="25">
        <f t="shared" si="5"/>
        <v>6</v>
      </c>
      <c r="C149" s="26">
        <f t="shared" si="0"/>
        <v>45143</v>
      </c>
      <c r="D149" s="27">
        <v>50.64</v>
      </c>
      <c r="E149" s="27">
        <v>49</v>
      </c>
      <c r="F149" s="27">
        <v>44.3</v>
      </c>
      <c r="G149" s="28">
        <v>31.1</v>
      </c>
      <c r="H149" s="27">
        <v>265</v>
      </c>
      <c r="I149" s="29">
        <v>50.64</v>
      </c>
      <c r="J149" s="29">
        <f>IF(ISBLANK(E149),U$19,E149)</f>
        <v>49</v>
      </c>
      <c r="K149" s="29">
        <f>IF(ISBLANK(F149),U$20,F149)</f>
        <v>44.3</v>
      </c>
      <c r="L149" s="29">
        <f>IF(ISBLANK(G149),U$21,G149)</f>
        <v>31.1</v>
      </c>
      <c r="M149" s="29">
        <f>IF(ISBLANK(H149),VLOOKUP(B149,$O$1:$P$9,2,TRUE),H149)</f>
        <v>265</v>
      </c>
    </row>
    <row r="150" spans="1:13" ht="15.75" customHeight="1" x14ac:dyDescent="0.5">
      <c r="A150" s="25">
        <v>149</v>
      </c>
      <c r="B150" s="25">
        <f t="shared" si="5"/>
        <v>7</v>
      </c>
      <c r="C150" s="26">
        <f t="shared" si="0"/>
        <v>45144</v>
      </c>
      <c r="D150" s="27">
        <v>15.6</v>
      </c>
      <c r="E150" s="27">
        <v>40.299999999999997</v>
      </c>
      <c r="F150" s="27">
        <v>11.9</v>
      </c>
      <c r="G150" s="28">
        <v>19.189999999999998</v>
      </c>
      <c r="H150" s="27">
        <v>110</v>
      </c>
      <c r="I150" s="29">
        <v>15.6</v>
      </c>
      <c r="J150" s="29">
        <f>IF(ISBLANK(E150),U$19,E150)</f>
        <v>40.299999999999997</v>
      </c>
      <c r="K150" s="29">
        <f>IF(ISBLANK(F150),U$20,F150)</f>
        <v>11.9</v>
      </c>
      <c r="L150" s="29">
        <f>IF(ISBLANK(G150),U$21,G150)</f>
        <v>19.189999999999998</v>
      </c>
      <c r="M150" s="29">
        <f>IF(ISBLANK(H150),VLOOKUP(B150,$O$1:$P$9,2,TRUE),H150)</f>
        <v>110</v>
      </c>
    </row>
    <row r="151" spans="1:13" ht="15.75" customHeight="1" x14ac:dyDescent="0.5">
      <c r="A151" s="25">
        <v>150</v>
      </c>
      <c r="B151" s="25">
        <f t="shared" si="5"/>
        <v>1</v>
      </c>
      <c r="C151" s="26">
        <f t="shared" si="0"/>
        <v>45145</v>
      </c>
      <c r="D151" s="27">
        <v>164</v>
      </c>
      <c r="E151" s="27">
        <v>25.8</v>
      </c>
      <c r="F151" s="27">
        <v>20.6</v>
      </c>
      <c r="G151" s="28">
        <v>9.1300000000000008</v>
      </c>
      <c r="H151" s="27">
        <v>118</v>
      </c>
      <c r="I151" s="29">
        <v>164</v>
      </c>
      <c r="J151" s="29">
        <f>IF(ISBLANK(E151),U$19,E151)</f>
        <v>25.8</v>
      </c>
      <c r="K151" s="29">
        <f>IF(ISBLANK(F151),U$20,F151)</f>
        <v>20.6</v>
      </c>
      <c r="L151" s="29">
        <f>IF(ISBLANK(G151),U$21,G151)</f>
        <v>9.1300000000000008</v>
      </c>
      <c r="M151" s="29">
        <f>IF(ISBLANK(H151),VLOOKUP(B151,$O$1:$P$9,2,TRUE),H151)</f>
        <v>118</v>
      </c>
    </row>
    <row r="152" spans="1:13" ht="15.75" customHeight="1" x14ac:dyDescent="0.5">
      <c r="A152" s="25">
        <v>151</v>
      </c>
      <c r="B152" s="25">
        <f t="shared" si="5"/>
        <v>2</v>
      </c>
      <c r="C152" s="26">
        <f t="shared" si="0"/>
        <v>45146</v>
      </c>
      <c r="D152" s="27">
        <v>66.14</v>
      </c>
      <c r="E152" s="27">
        <v>13.9</v>
      </c>
      <c r="F152" s="27">
        <v>37</v>
      </c>
      <c r="G152" s="28">
        <v>20.220000000000002</v>
      </c>
      <c r="H152" s="27">
        <v>166</v>
      </c>
      <c r="I152" s="29">
        <v>66.14</v>
      </c>
      <c r="J152" s="29">
        <f>IF(ISBLANK(E152),U$19,E152)</f>
        <v>13.9</v>
      </c>
      <c r="K152" s="29">
        <f>IF(ISBLANK(F152),U$20,F152)</f>
        <v>37</v>
      </c>
      <c r="L152" s="29">
        <f>IF(ISBLANK(G152),U$21,G152)</f>
        <v>20.220000000000002</v>
      </c>
      <c r="M152" s="29">
        <f>IF(ISBLANK(H152),VLOOKUP(B152,$O$1:$P$9,2,TRUE),H152)</f>
        <v>166</v>
      </c>
    </row>
    <row r="153" spans="1:13" ht="15.75" customHeight="1" x14ac:dyDescent="0.5">
      <c r="A153" s="25">
        <v>152</v>
      </c>
      <c r="B153" s="25">
        <f t="shared" si="5"/>
        <v>3</v>
      </c>
      <c r="C153" s="26">
        <f t="shared" si="0"/>
        <v>45147</v>
      </c>
      <c r="D153" s="27">
        <v>31.2</v>
      </c>
      <c r="E153" s="27">
        <v>8.4</v>
      </c>
      <c r="F153" s="27">
        <v>48.7</v>
      </c>
      <c r="G153" s="28">
        <v>16.819999999999997</v>
      </c>
      <c r="H153" s="27">
        <v>125</v>
      </c>
      <c r="I153" s="29">
        <v>31.2</v>
      </c>
      <c r="J153" s="29">
        <f>IF(ISBLANK(E153),U$19,E153)</f>
        <v>8.4</v>
      </c>
      <c r="K153" s="29">
        <f>IF(ISBLANK(F153),U$20,F153)</f>
        <v>48.7</v>
      </c>
      <c r="L153" s="29">
        <f>IF(ISBLANK(G153),U$21,G153)</f>
        <v>16.819999999999997</v>
      </c>
      <c r="M153" s="29">
        <f>IF(ISBLANK(H153),VLOOKUP(B153,$O$1:$P$9,2,TRUE),H153)</f>
        <v>125</v>
      </c>
    </row>
    <row r="154" spans="1:13" ht="15.75" customHeight="1" x14ac:dyDescent="0.5">
      <c r="A154" s="25">
        <v>153</v>
      </c>
      <c r="B154" s="25">
        <f t="shared" si="5"/>
        <v>4</v>
      </c>
      <c r="C154" s="26">
        <f t="shared" si="0"/>
        <v>45148</v>
      </c>
      <c r="D154" s="27">
        <v>40.519999999999996</v>
      </c>
      <c r="E154" s="27">
        <v>23.3</v>
      </c>
      <c r="F154" s="27">
        <v>14.2</v>
      </c>
      <c r="G154" s="28">
        <v>25.729999999999997</v>
      </c>
      <c r="H154" s="27">
        <v>169</v>
      </c>
      <c r="I154" s="29">
        <v>40.519999999999996</v>
      </c>
      <c r="J154" s="29">
        <f>IF(ISBLANK(E154),U$19,E154)</f>
        <v>23.3</v>
      </c>
      <c r="K154" s="29">
        <f>IF(ISBLANK(F154),U$20,F154)</f>
        <v>14.2</v>
      </c>
      <c r="L154" s="29">
        <f>IF(ISBLANK(G154),U$21,G154)</f>
        <v>25.729999999999997</v>
      </c>
      <c r="M154" s="29">
        <f>IF(ISBLANK(H154),VLOOKUP(B154,$O$1:$P$9,2,TRUE),H154)</f>
        <v>169</v>
      </c>
    </row>
    <row r="155" spans="1:13" ht="15.75" customHeight="1" x14ac:dyDescent="0.5">
      <c r="A155" s="25">
        <v>154</v>
      </c>
      <c r="B155" s="25">
        <f t="shared" si="5"/>
        <v>5</v>
      </c>
      <c r="C155" s="26">
        <f t="shared" si="0"/>
        <v>45149</v>
      </c>
      <c r="D155" s="27">
        <v>37.260000000000005</v>
      </c>
      <c r="E155" s="27">
        <v>39.700000000000003</v>
      </c>
      <c r="F155" s="27">
        <v>37.700000000000003</v>
      </c>
      <c r="G155" s="28">
        <v>21.900000000000002</v>
      </c>
      <c r="H155" s="27">
        <v>208</v>
      </c>
      <c r="I155" s="29">
        <v>37.260000000000005</v>
      </c>
      <c r="J155" s="29">
        <f>IF(ISBLANK(E155),U$19,E155)</f>
        <v>39.700000000000003</v>
      </c>
      <c r="K155" s="29">
        <f>IF(ISBLANK(F155),U$20,F155)</f>
        <v>37.700000000000003</v>
      </c>
      <c r="L155" s="29">
        <f>IF(ISBLANK(G155),U$21,G155)</f>
        <v>21.900000000000002</v>
      </c>
      <c r="M155" s="29">
        <f>IF(ISBLANK(H155),VLOOKUP(B155,$O$1:$P$9,2,TRUE),H155)</f>
        <v>208</v>
      </c>
    </row>
    <row r="156" spans="1:13" ht="15.75" customHeight="1" x14ac:dyDescent="0.5">
      <c r="A156" s="25">
        <v>155</v>
      </c>
      <c r="B156" s="25">
        <f t="shared" si="5"/>
        <v>6</v>
      </c>
      <c r="C156" s="26">
        <f t="shared" si="0"/>
        <v>45150</v>
      </c>
      <c r="D156" s="27">
        <v>43.56</v>
      </c>
      <c r="E156" s="27">
        <v>21.1</v>
      </c>
      <c r="F156" s="27">
        <v>9.5</v>
      </c>
      <c r="G156" s="28">
        <v>25.53</v>
      </c>
      <c r="H156" s="27">
        <v>166</v>
      </c>
      <c r="I156" s="29">
        <v>43.56</v>
      </c>
      <c r="J156" s="29">
        <f>IF(ISBLANK(E156),U$19,E156)</f>
        <v>21.1</v>
      </c>
      <c r="K156" s="29">
        <f>IF(ISBLANK(F156),U$20,F156)</f>
        <v>9.5</v>
      </c>
      <c r="L156" s="29">
        <f>IF(ISBLANK(G156),U$21,G156)</f>
        <v>25.53</v>
      </c>
      <c r="M156" s="29">
        <f>IF(ISBLANK(H156),VLOOKUP(B156,$O$1:$P$9,2,TRUE),H156)</f>
        <v>166</v>
      </c>
    </row>
    <row r="157" spans="1:13" ht="15.75" customHeight="1" x14ac:dyDescent="0.5">
      <c r="A157" s="25">
        <v>156</v>
      </c>
      <c r="B157" s="25">
        <f t="shared" si="5"/>
        <v>7</v>
      </c>
      <c r="C157" s="26">
        <f t="shared" si="0"/>
        <v>45151</v>
      </c>
      <c r="D157" s="27">
        <v>9.82</v>
      </c>
      <c r="E157" s="27">
        <v>11.6</v>
      </c>
      <c r="F157" s="27">
        <v>5.7</v>
      </c>
      <c r="G157" s="28">
        <v>92</v>
      </c>
      <c r="H157" s="27">
        <v>35</v>
      </c>
      <c r="I157" s="29">
        <v>9.82</v>
      </c>
      <c r="J157" s="29">
        <f>IF(ISBLANK(E157),U$19,E157)</f>
        <v>11.6</v>
      </c>
      <c r="K157" s="29">
        <f>IF(ISBLANK(F157),U$20,F157)</f>
        <v>5.7</v>
      </c>
      <c r="L157" s="29">
        <f>IF(ISBLANK(G157),U$21,G157)</f>
        <v>92</v>
      </c>
      <c r="M157" s="29">
        <f>IF(ISBLANK(H157),VLOOKUP(B157,$O$1:$P$9,2,TRUE),H157)</f>
        <v>35</v>
      </c>
    </row>
    <row r="158" spans="1:13" ht="15.75" customHeight="1" x14ac:dyDescent="0.5">
      <c r="A158" s="25">
        <v>157</v>
      </c>
      <c r="B158" s="25">
        <f t="shared" si="5"/>
        <v>1</v>
      </c>
      <c r="C158" s="26">
        <f t="shared" si="0"/>
        <v>45152</v>
      </c>
      <c r="D158" s="27">
        <v>25.78</v>
      </c>
      <c r="E158" s="27">
        <v>43.5</v>
      </c>
      <c r="F158" s="27">
        <v>50.5</v>
      </c>
      <c r="G158" s="28">
        <v>10.939999999999998</v>
      </c>
      <c r="H158" s="27">
        <v>173</v>
      </c>
      <c r="I158" s="29">
        <v>25.78</v>
      </c>
      <c r="J158" s="29">
        <f>IF(ISBLANK(E158),U$19,E158)</f>
        <v>43.5</v>
      </c>
      <c r="K158" s="29">
        <f>IF(ISBLANK(F158),U$20,F158)</f>
        <v>50.5</v>
      </c>
      <c r="L158" s="29">
        <f>IF(ISBLANK(G158),U$21,G158)</f>
        <v>10.939999999999998</v>
      </c>
      <c r="M158" s="29">
        <f>IF(ISBLANK(H158),VLOOKUP(B158,$O$1:$P$9,2,TRUE),H158)</f>
        <v>173</v>
      </c>
    </row>
    <row r="159" spans="1:13" ht="15.75" customHeight="1" x14ac:dyDescent="0.5">
      <c r="A159" s="25">
        <v>158</v>
      </c>
      <c r="B159" s="25">
        <f t="shared" si="5"/>
        <v>2</v>
      </c>
      <c r="C159" s="26">
        <f t="shared" si="0"/>
        <v>45153</v>
      </c>
      <c r="D159" s="27">
        <v>39.96</v>
      </c>
      <c r="E159" s="27">
        <v>1.3</v>
      </c>
      <c r="F159" s="27">
        <v>24.3</v>
      </c>
      <c r="G159" s="28">
        <v>5.91</v>
      </c>
      <c r="H159" s="27">
        <v>111</v>
      </c>
      <c r="I159" s="29">
        <v>39.96</v>
      </c>
      <c r="J159" s="29">
        <f>IF(ISBLANK(E159),U$19,E159)</f>
        <v>1.3</v>
      </c>
      <c r="K159" s="29">
        <f>IF(ISBLANK(F159),U$20,F159)</f>
        <v>24.3</v>
      </c>
      <c r="L159" s="29">
        <f>IF(ISBLANK(G159),U$21,G159)</f>
        <v>5.91</v>
      </c>
      <c r="M159" s="29">
        <f>IF(ISBLANK(H159),VLOOKUP(B159,$O$1:$P$9,2,TRUE),H159)</f>
        <v>111</v>
      </c>
    </row>
    <row r="160" spans="1:13" ht="15.75" customHeight="1" x14ac:dyDescent="0.5">
      <c r="A160" s="25">
        <v>159</v>
      </c>
      <c r="B160" s="25">
        <f t="shared" si="5"/>
        <v>3</v>
      </c>
      <c r="C160" s="26">
        <f t="shared" si="0"/>
        <v>45154</v>
      </c>
      <c r="D160" s="27">
        <v>12.34</v>
      </c>
      <c r="E160" s="27">
        <v>36.9</v>
      </c>
      <c r="F160" s="27">
        <v>45.2</v>
      </c>
      <c r="G160" s="28">
        <v>1.5399999999999956</v>
      </c>
      <c r="H160" s="27">
        <v>85</v>
      </c>
      <c r="I160" s="29">
        <v>12.34</v>
      </c>
      <c r="J160" s="29">
        <f>IF(ISBLANK(E160),U$19,E160)</f>
        <v>36.9</v>
      </c>
      <c r="K160" s="29">
        <f>IF(ISBLANK(F160),U$20,F160)</f>
        <v>45.2</v>
      </c>
      <c r="L160" s="29">
        <f>IF(ISBLANK(G160),U$21,G160)</f>
        <v>1.5399999999999956</v>
      </c>
      <c r="M160" s="29">
        <f>IF(ISBLANK(H160),VLOOKUP(B160,$O$1:$P$9,2,TRUE),H160)</f>
        <v>85</v>
      </c>
    </row>
    <row r="161" spans="1:13" ht="15.75" customHeight="1" x14ac:dyDescent="0.5">
      <c r="A161" s="25">
        <v>160</v>
      </c>
      <c r="B161" s="25">
        <f t="shared" si="5"/>
        <v>4</v>
      </c>
      <c r="C161" s="26">
        <f t="shared" si="0"/>
        <v>45155</v>
      </c>
      <c r="D161" s="27">
        <v>32.339999999999996</v>
      </c>
      <c r="E161" s="27">
        <v>18.399999999999999</v>
      </c>
      <c r="F161" s="27">
        <v>34.6</v>
      </c>
      <c r="G161" s="28">
        <v>8.5299999999999958</v>
      </c>
      <c r="H161" s="27">
        <v>138</v>
      </c>
      <c r="I161" s="29">
        <v>32.339999999999996</v>
      </c>
      <c r="J161" s="29">
        <f>IF(ISBLANK(E161),U$19,E161)</f>
        <v>18.399999999999999</v>
      </c>
      <c r="K161" s="29">
        <f>IF(ISBLANK(F161),U$20,F161)</f>
        <v>34.6</v>
      </c>
      <c r="L161" s="29">
        <f>IF(ISBLANK(G161),U$21,G161)</f>
        <v>8.5299999999999958</v>
      </c>
      <c r="M161" s="29">
        <f>IF(ISBLANK(H161),VLOOKUP(B161,$O$1:$P$9,2,TRUE),H161)</f>
        <v>138</v>
      </c>
    </row>
    <row r="162" spans="1:13" ht="15.75" customHeight="1" x14ac:dyDescent="0.5">
      <c r="A162" s="25">
        <v>161</v>
      </c>
      <c r="B162" s="25">
        <f t="shared" si="5"/>
        <v>5</v>
      </c>
      <c r="C162" s="26">
        <f t="shared" si="0"/>
        <v>45156</v>
      </c>
      <c r="D162" s="27">
        <v>44.5</v>
      </c>
      <c r="E162" s="27">
        <v>18.100000000000001</v>
      </c>
      <c r="F162" s="27">
        <v>30.7</v>
      </c>
      <c r="G162" s="28">
        <v>14.02</v>
      </c>
      <c r="H162" s="27">
        <v>159</v>
      </c>
      <c r="I162" s="29">
        <v>44.5</v>
      </c>
      <c r="J162" s="29">
        <f>IF(ISBLANK(E162),U$19,E162)</f>
        <v>18.100000000000001</v>
      </c>
      <c r="K162" s="29">
        <f>IF(ISBLANK(F162),U$20,F162)</f>
        <v>30.7</v>
      </c>
      <c r="L162" s="29">
        <f>IF(ISBLANK(G162),U$21,G162)</f>
        <v>14.02</v>
      </c>
      <c r="M162" s="29">
        <f>IF(ISBLANK(H162),VLOOKUP(B162,$O$1:$P$9,2,TRUE),H162)</f>
        <v>159</v>
      </c>
    </row>
    <row r="163" spans="1:13" ht="15.75" customHeight="1" x14ac:dyDescent="0.5">
      <c r="A163" s="25">
        <v>162</v>
      </c>
      <c r="B163" s="25">
        <f t="shared" si="5"/>
        <v>6</v>
      </c>
      <c r="C163" s="26">
        <f t="shared" si="0"/>
        <v>45157</v>
      </c>
      <c r="D163" s="27">
        <v>19.14</v>
      </c>
      <c r="E163" s="27">
        <v>35.799999999999997</v>
      </c>
      <c r="F163" s="27">
        <v>49.3</v>
      </c>
      <c r="G163" s="28">
        <v>6.75</v>
      </c>
      <c r="H163" s="27">
        <v>151</v>
      </c>
      <c r="I163" s="29">
        <v>19.14</v>
      </c>
      <c r="J163" s="29">
        <f>IF(ISBLANK(E163),U$19,E163)</f>
        <v>35.799999999999997</v>
      </c>
      <c r="K163" s="29">
        <f>IF(ISBLANK(F163),U$20,F163)</f>
        <v>49.3</v>
      </c>
      <c r="L163" s="29">
        <f>IF(ISBLANK(G163),U$21,G163)</f>
        <v>6.75</v>
      </c>
      <c r="M163" s="29">
        <f>IF(ISBLANK(H163),VLOOKUP(B163,$O$1:$P$9,2,TRUE),H163)</f>
        <v>151</v>
      </c>
    </row>
    <row r="164" spans="1:13" ht="15.75" customHeight="1" x14ac:dyDescent="0.5">
      <c r="A164" s="25">
        <v>163</v>
      </c>
      <c r="B164" s="25">
        <f t="shared" si="5"/>
        <v>7</v>
      </c>
      <c r="C164" s="26">
        <f t="shared" si="0"/>
        <v>45158</v>
      </c>
      <c r="D164" s="27">
        <v>42.68</v>
      </c>
      <c r="E164" s="27"/>
      <c r="F164" s="27"/>
      <c r="G164" s="28">
        <v>17.649999999999999</v>
      </c>
      <c r="H164" s="27">
        <v>168</v>
      </c>
      <c r="I164" s="29">
        <v>42.68</v>
      </c>
      <c r="J164" s="29">
        <f>IF(ISBLANK(E164),U$19,E164)</f>
        <v>23.450000000000003</v>
      </c>
      <c r="K164" s="29">
        <f>IF(ISBLANK(F164),U$20,F164)</f>
        <v>25.9</v>
      </c>
      <c r="L164" s="29">
        <f>IF(ISBLANK(G164),U$21,G164)</f>
        <v>17.649999999999999</v>
      </c>
      <c r="M164" s="29">
        <f>IF(ISBLANK(H164),VLOOKUP(B164,$O$1:$P$9,2,TRUE),H164)</f>
        <v>168</v>
      </c>
    </row>
    <row r="165" spans="1:13" ht="15.75" customHeight="1" x14ac:dyDescent="0.5">
      <c r="A165" s="25">
        <v>164</v>
      </c>
      <c r="B165" s="25">
        <f t="shared" si="5"/>
        <v>1</v>
      </c>
      <c r="C165" s="26">
        <f t="shared" si="0"/>
        <v>45159</v>
      </c>
      <c r="D165" s="27">
        <v>33.700000000000003</v>
      </c>
      <c r="E165" s="27">
        <v>36.799999999999997</v>
      </c>
      <c r="F165" s="27">
        <v>7.4</v>
      </c>
      <c r="G165" s="28">
        <v>31.79</v>
      </c>
      <c r="H165" s="27">
        <v>193</v>
      </c>
      <c r="I165" s="29">
        <v>33.700000000000003</v>
      </c>
      <c r="J165" s="29">
        <f>IF(ISBLANK(E165),U$19,E165)</f>
        <v>36.799999999999997</v>
      </c>
      <c r="K165" s="29">
        <f>IF(ISBLANK(F165),U$20,F165)</f>
        <v>7.4</v>
      </c>
      <c r="L165" s="29">
        <f>IF(ISBLANK(G165),U$21,G165)</f>
        <v>31.79</v>
      </c>
      <c r="M165" s="29">
        <f>IF(ISBLANK(H165),VLOOKUP(B165,$O$1:$P$9,2,TRUE),H165)</f>
        <v>193</v>
      </c>
    </row>
    <row r="166" spans="1:13" ht="15.75" customHeight="1" x14ac:dyDescent="0.5">
      <c r="A166" s="25">
        <v>165</v>
      </c>
      <c r="B166" s="25">
        <f t="shared" si="5"/>
        <v>2</v>
      </c>
      <c r="C166" s="26">
        <f t="shared" si="0"/>
        <v>45160</v>
      </c>
      <c r="D166" s="27">
        <v>28.44</v>
      </c>
      <c r="E166" s="27">
        <v>14.7</v>
      </c>
      <c r="F166" s="27">
        <v>5.4</v>
      </c>
      <c r="G166" s="28">
        <v>16.91</v>
      </c>
      <c r="H166" s="27">
        <v>132</v>
      </c>
      <c r="I166" s="29">
        <v>28.44</v>
      </c>
      <c r="J166" s="29">
        <f>IF(ISBLANK(E166),U$19,E166)</f>
        <v>14.7</v>
      </c>
      <c r="K166" s="29">
        <f>IF(ISBLANK(F166),U$20,F166)</f>
        <v>5.4</v>
      </c>
      <c r="L166" s="29">
        <f>IF(ISBLANK(G166),U$21,G166)</f>
        <v>16.91</v>
      </c>
      <c r="M166" s="29">
        <f>IF(ISBLANK(H166),VLOOKUP(B166,$O$1:$P$9,2,TRUE),H166)</f>
        <v>132</v>
      </c>
    </row>
    <row r="167" spans="1:13" ht="15.75" customHeight="1" x14ac:dyDescent="0.5">
      <c r="A167" s="25">
        <v>166</v>
      </c>
      <c r="B167" s="25">
        <f t="shared" si="5"/>
        <v>3</v>
      </c>
      <c r="C167" s="26">
        <f t="shared" si="0"/>
        <v>45161</v>
      </c>
      <c r="D167" s="27">
        <v>56.9</v>
      </c>
      <c r="E167" s="27">
        <v>3.4</v>
      </c>
      <c r="F167" s="27">
        <v>84.8</v>
      </c>
      <c r="G167" s="28">
        <v>11.229999999999997</v>
      </c>
      <c r="H167" s="27">
        <v>131</v>
      </c>
      <c r="I167" s="29">
        <v>56.9</v>
      </c>
      <c r="J167" s="29">
        <f>IF(ISBLANK(E167),U$19,E167)</f>
        <v>3.4</v>
      </c>
      <c r="K167" s="29">
        <f>IF(ISBLANK(F167),U$20,F167)</f>
        <v>84.8</v>
      </c>
      <c r="L167" s="29">
        <f>IF(ISBLANK(G167),U$21,G167)</f>
        <v>11.229999999999997</v>
      </c>
      <c r="M167" s="29">
        <f>IF(ISBLANK(H167),VLOOKUP(B167,$O$1:$P$9,2,TRUE),H167)</f>
        <v>131</v>
      </c>
    </row>
    <row r="168" spans="1:13" ht="15.75" customHeight="1" x14ac:dyDescent="0.5">
      <c r="A168" s="25">
        <v>167</v>
      </c>
      <c r="B168" s="25">
        <f t="shared" si="5"/>
        <v>4</v>
      </c>
      <c r="C168" s="26">
        <f t="shared" si="0"/>
        <v>45162</v>
      </c>
      <c r="D168" s="27">
        <v>11.58</v>
      </c>
      <c r="E168" s="27">
        <v>37.6</v>
      </c>
      <c r="F168" s="27">
        <v>21.6</v>
      </c>
      <c r="G168" s="28">
        <v>11.95</v>
      </c>
      <c r="H168" s="27">
        <v>90</v>
      </c>
      <c r="I168" s="29">
        <v>11.58</v>
      </c>
      <c r="J168" s="29">
        <f>IF(ISBLANK(E168),U$19,E168)</f>
        <v>37.6</v>
      </c>
      <c r="K168" s="29">
        <f>IF(ISBLANK(F168),U$20,F168)</f>
        <v>21.6</v>
      </c>
      <c r="L168" s="29">
        <f>IF(ISBLANK(G168),U$21,G168)</f>
        <v>11.95</v>
      </c>
      <c r="M168" s="29">
        <f>IF(ISBLANK(H168),VLOOKUP(B168,$O$1:$P$9,2,TRUE),H168)</f>
        <v>90</v>
      </c>
    </row>
    <row r="169" spans="1:13" ht="15.75" customHeight="1" x14ac:dyDescent="0.5">
      <c r="A169" s="25">
        <v>168</v>
      </c>
      <c r="B169" s="25">
        <f t="shared" si="5"/>
        <v>5</v>
      </c>
      <c r="C169" s="26">
        <f t="shared" si="0"/>
        <v>45163</v>
      </c>
      <c r="D169" s="27">
        <v>48.36</v>
      </c>
      <c r="E169" s="27">
        <v>5.2</v>
      </c>
      <c r="F169" s="27">
        <v>19.399999999999999</v>
      </c>
      <c r="G169" s="28">
        <v>15.520000000000001</v>
      </c>
      <c r="H169" s="27">
        <v>129</v>
      </c>
      <c r="I169" s="29">
        <v>48.36</v>
      </c>
      <c r="J169" s="29">
        <f>IF(ISBLANK(E169),U$19,E169)</f>
        <v>5.2</v>
      </c>
      <c r="K169" s="29">
        <f>IF(ISBLANK(F169),U$20,F169)</f>
        <v>19.399999999999999</v>
      </c>
      <c r="L169" s="29">
        <f>IF(ISBLANK(G169),U$21,G169)</f>
        <v>15.520000000000001</v>
      </c>
      <c r="M169" s="29">
        <f>IF(ISBLANK(H169),VLOOKUP(B169,$O$1:$P$9,2,TRUE),H169)</f>
        <v>129</v>
      </c>
    </row>
    <row r="170" spans="1:13" ht="15.75" customHeight="1" x14ac:dyDescent="0.5">
      <c r="A170" s="25">
        <v>169</v>
      </c>
      <c r="B170" s="25">
        <f t="shared" si="5"/>
        <v>6</v>
      </c>
      <c r="C170" s="26">
        <f t="shared" si="0"/>
        <v>45164</v>
      </c>
      <c r="D170" s="27">
        <v>45.08</v>
      </c>
      <c r="E170" s="27">
        <v>23.6</v>
      </c>
      <c r="F170" s="27">
        <v>57.6</v>
      </c>
      <c r="G170" s="28">
        <v>10.3</v>
      </c>
      <c r="H170" s="27">
        <v>185</v>
      </c>
      <c r="I170" s="29">
        <v>45.08</v>
      </c>
      <c r="J170" s="29">
        <f>IF(ISBLANK(E170),U$19,E170)</f>
        <v>23.6</v>
      </c>
      <c r="K170" s="29">
        <f>IF(ISBLANK(F170),U$20,F170)</f>
        <v>57.6</v>
      </c>
      <c r="L170" s="29">
        <f>IF(ISBLANK(G170),U$21,G170)</f>
        <v>10.3</v>
      </c>
      <c r="M170" s="29">
        <f>IF(ISBLANK(H170),VLOOKUP(B170,$O$1:$P$9,2,TRUE),H170)</f>
        <v>185</v>
      </c>
    </row>
    <row r="171" spans="1:13" ht="15.75" customHeight="1" x14ac:dyDescent="0.5">
      <c r="A171" s="25">
        <v>170</v>
      </c>
      <c r="B171" s="25">
        <f t="shared" si="5"/>
        <v>7</v>
      </c>
      <c r="C171" s="26">
        <f t="shared" si="0"/>
        <v>45165</v>
      </c>
      <c r="D171" s="27">
        <v>60.86</v>
      </c>
      <c r="E171" s="27">
        <v>10.6</v>
      </c>
      <c r="F171" s="27">
        <v>6.4</v>
      </c>
      <c r="G171" s="28">
        <v>31.169999999999995</v>
      </c>
      <c r="H171" s="27">
        <v>162</v>
      </c>
      <c r="I171" s="29">
        <v>60.86</v>
      </c>
      <c r="J171" s="29">
        <f>IF(ISBLANK(E171),U$19,E171)</f>
        <v>10.6</v>
      </c>
      <c r="K171" s="29">
        <f>IF(ISBLANK(F171),U$20,F171)</f>
        <v>6.4</v>
      </c>
      <c r="L171" s="29">
        <f>IF(ISBLANK(G171),U$21,G171)</f>
        <v>31.169999999999995</v>
      </c>
      <c r="M171" s="29">
        <f>IF(ISBLANK(H171),VLOOKUP(B171,$O$1:$P$9,2,TRUE),H171)</f>
        <v>162</v>
      </c>
    </row>
    <row r="172" spans="1:13" ht="15.75" customHeight="1" x14ac:dyDescent="0.5">
      <c r="A172" s="25">
        <v>171</v>
      </c>
      <c r="B172" s="25">
        <f t="shared" si="5"/>
        <v>1</v>
      </c>
      <c r="C172" s="26">
        <f t="shared" si="0"/>
        <v>45166</v>
      </c>
      <c r="D172" s="27">
        <v>12</v>
      </c>
      <c r="E172" s="27">
        <v>11.6</v>
      </c>
      <c r="F172" s="27">
        <v>18.399999999999999</v>
      </c>
      <c r="G172" s="28">
        <v>3.4400000000000013</v>
      </c>
      <c r="H172" s="27">
        <v>90</v>
      </c>
      <c r="I172" s="29">
        <v>12</v>
      </c>
      <c r="J172" s="29">
        <f>IF(ISBLANK(E172),U$19,E172)</f>
        <v>11.6</v>
      </c>
      <c r="K172" s="29">
        <f>IF(ISBLANK(F172),U$20,F172)</f>
        <v>18.399999999999999</v>
      </c>
      <c r="L172" s="29">
        <f>IF(ISBLANK(G172),U$21,G172)</f>
        <v>3.4400000000000013</v>
      </c>
      <c r="M172" s="29">
        <f>IF(ISBLANK(H172),VLOOKUP(B172,$O$1:$P$9,2,TRUE),H172)</f>
        <v>90</v>
      </c>
    </row>
    <row r="173" spans="1:13" ht="15.75" customHeight="1" x14ac:dyDescent="0.5">
      <c r="A173" s="25">
        <v>172</v>
      </c>
      <c r="B173" s="25">
        <f t="shared" si="5"/>
        <v>2</v>
      </c>
      <c r="C173" s="26">
        <f t="shared" si="0"/>
        <v>45167</v>
      </c>
      <c r="D173" s="27">
        <v>42.9</v>
      </c>
      <c r="E173" s="27">
        <v>20.9</v>
      </c>
      <c r="F173" s="27">
        <v>47.4</v>
      </c>
      <c r="G173" s="28">
        <v>7.9399999999999977</v>
      </c>
      <c r="H173" s="27">
        <v>163</v>
      </c>
      <c r="I173" s="29">
        <v>42.9</v>
      </c>
      <c r="J173" s="29">
        <f>IF(ISBLANK(E173),U$19,E173)</f>
        <v>20.9</v>
      </c>
      <c r="K173" s="29">
        <f>IF(ISBLANK(F173),U$20,F173)</f>
        <v>47.4</v>
      </c>
      <c r="L173" s="29">
        <f>IF(ISBLANK(G173),U$21,G173)</f>
        <v>7.9399999999999977</v>
      </c>
      <c r="M173" s="29">
        <f>IF(ISBLANK(H173),VLOOKUP(B173,$O$1:$P$9,2,TRUE),H173)</f>
        <v>163</v>
      </c>
    </row>
    <row r="174" spans="1:13" ht="15.75" customHeight="1" x14ac:dyDescent="0.5">
      <c r="A174" s="25">
        <v>173</v>
      </c>
      <c r="B174" s="25">
        <f t="shared" si="5"/>
        <v>3</v>
      </c>
      <c r="C174" s="26">
        <f t="shared" si="0"/>
        <v>45168</v>
      </c>
      <c r="D174" s="27">
        <v>9.92</v>
      </c>
      <c r="E174" s="27">
        <v>20.100000000000001</v>
      </c>
      <c r="F174" s="27">
        <v>17</v>
      </c>
      <c r="G174" s="28">
        <v>5.2100000000000009</v>
      </c>
      <c r="H174" s="27">
        <v>93</v>
      </c>
      <c r="I174" s="29">
        <v>9.92</v>
      </c>
      <c r="J174" s="29">
        <f>IF(ISBLANK(E174),U$19,E174)</f>
        <v>20.100000000000001</v>
      </c>
      <c r="K174" s="29">
        <f>IF(ISBLANK(F174),U$20,F174)</f>
        <v>17</v>
      </c>
      <c r="L174" s="29">
        <f>IF(ISBLANK(G174),U$21,G174)</f>
        <v>5.2100000000000009</v>
      </c>
      <c r="M174" s="29">
        <f>IF(ISBLANK(H174),VLOOKUP(B174,$O$1:$P$9,2,TRUE),H174)</f>
        <v>93</v>
      </c>
    </row>
    <row r="175" spans="1:13" ht="15.75" customHeight="1" x14ac:dyDescent="0.5">
      <c r="A175" s="25">
        <v>174</v>
      </c>
      <c r="B175" s="25">
        <f t="shared" si="5"/>
        <v>4</v>
      </c>
      <c r="C175" s="26">
        <f t="shared" si="0"/>
        <v>45169</v>
      </c>
      <c r="D175" s="27">
        <v>36.68</v>
      </c>
      <c r="E175" s="27">
        <v>7.1</v>
      </c>
      <c r="F175" s="27">
        <v>12.8</v>
      </c>
      <c r="G175" s="28">
        <v>15.27</v>
      </c>
      <c r="H175" s="27">
        <v>129</v>
      </c>
      <c r="I175" s="29">
        <v>36.68</v>
      </c>
      <c r="J175" s="29">
        <f>IF(ISBLANK(E175),U$19,E175)</f>
        <v>7.1</v>
      </c>
      <c r="K175" s="29">
        <f>IF(ISBLANK(F175),U$20,F175)</f>
        <v>12.8</v>
      </c>
      <c r="L175" s="29">
        <f>IF(ISBLANK(G175),U$21,G175)</f>
        <v>15.27</v>
      </c>
      <c r="M175" s="29">
        <f>IF(ISBLANK(H175),VLOOKUP(B175,$O$1:$P$9,2,TRUE),H175)</f>
        <v>129</v>
      </c>
    </row>
    <row r="176" spans="1:13" ht="15.75" customHeight="1" x14ac:dyDescent="0.5">
      <c r="A176" s="25">
        <v>175</v>
      </c>
      <c r="B176" s="25">
        <f t="shared" si="5"/>
        <v>5</v>
      </c>
      <c r="C176" s="26">
        <f t="shared" si="0"/>
        <v>45170</v>
      </c>
      <c r="D176" s="27">
        <v>53.480000000000004</v>
      </c>
      <c r="E176" s="27">
        <v>3.4</v>
      </c>
      <c r="F176" s="27">
        <v>13.1</v>
      </c>
      <c r="G176" s="28">
        <v>18.700000000000003</v>
      </c>
      <c r="H176" s="27">
        <v>127</v>
      </c>
      <c r="I176" s="29">
        <v>53.480000000000004</v>
      </c>
      <c r="J176" s="29">
        <f>IF(ISBLANK(E176),U$19,E176)</f>
        <v>3.4</v>
      </c>
      <c r="K176" s="29">
        <f>IF(ISBLANK(F176),U$20,F176)</f>
        <v>13.1</v>
      </c>
      <c r="L176" s="29">
        <f>IF(ISBLANK(G176),U$21,G176)</f>
        <v>18.700000000000003</v>
      </c>
      <c r="M176" s="29">
        <f>IF(ISBLANK(H176),VLOOKUP(B176,$O$1:$P$9,2,TRUE),H176)</f>
        <v>127</v>
      </c>
    </row>
    <row r="177" spans="1:13" ht="15.75" customHeight="1" x14ac:dyDescent="0.5">
      <c r="A177" s="25">
        <v>176</v>
      </c>
      <c r="B177" s="25">
        <f t="shared" si="5"/>
        <v>6</v>
      </c>
      <c r="C177" s="26">
        <f t="shared" si="0"/>
        <v>45171</v>
      </c>
      <c r="D177" s="27">
        <v>64.38</v>
      </c>
      <c r="E177" s="27">
        <v>48.9</v>
      </c>
      <c r="F177" s="27">
        <v>41.8</v>
      </c>
      <c r="G177" s="28">
        <v>35.42</v>
      </c>
      <c r="H177" s="27">
        <v>271</v>
      </c>
      <c r="I177" s="29">
        <v>64.38</v>
      </c>
      <c r="J177" s="29">
        <f>IF(ISBLANK(E177),U$19,E177)</f>
        <v>48.9</v>
      </c>
      <c r="K177" s="29">
        <f>IF(ISBLANK(F177),U$20,F177)</f>
        <v>41.8</v>
      </c>
      <c r="L177" s="29">
        <f>IF(ISBLANK(G177),U$21,G177)</f>
        <v>35.42</v>
      </c>
      <c r="M177" s="29">
        <f>IF(ISBLANK(H177),VLOOKUP(B177,$O$1:$P$9,2,TRUE),H177)</f>
        <v>271</v>
      </c>
    </row>
    <row r="178" spans="1:13" ht="15.75" customHeight="1" x14ac:dyDescent="0.5">
      <c r="A178" s="25">
        <v>177</v>
      </c>
      <c r="B178" s="25">
        <f t="shared" si="5"/>
        <v>7</v>
      </c>
      <c r="C178" s="26">
        <f t="shared" si="0"/>
        <v>45172</v>
      </c>
      <c r="D178" s="27">
        <v>58.68</v>
      </c>
      <c r="E178" s="27">
        <v>30.2</v>
      </c>
      <c r="F178" s="27">
        <v>20.3</v>
      </c>
      <c r="G178" s="28">
        <v>31.819999999999997</v>
      </c>
      <c r="H178" s="27">
        <v>216</v>
      </c>
      <c r="I178" s="29">
        <v>58.68</v>
      </c>
      <c r="J178" s="29">
        <f>IF(ISBLANK(E178),U$19,E178)</f>
        <v>30.2</v>
      </c>
      <c r="K178" s="29">
        <f>IF(ISBLANK(F178),U$20,F178)</f>
        <v>20.3</v>
      </c>
      <c r="L178" s="29">
        <f>IF(ISBLANK(G178),U$21,G178)</f>
        <v>31.819999999999997</v>
      </c>
      <c r="M178" s="29">
        <f>IF(ISBLANK(H178),VLOOKUP(B178,$O$1:$P$9,2,TRUE),H178)</f>
        <v>216</v>
      </c>
    </row>
    <row r="179" spans="1:13" ht="15.75" customHeight="1" x14ac:dyDescent="0.5">
      <c r="A179" s="25">
        <v>178</v>
      </c>
      <c r="B179" s="25">
        <f t="shared" si="5"/>
        <v>1</v>
      </c>
      <c r="C179" s="26">
        <f t="shared" si="0"/>
        <v>45173</v>
      </c>
      <c r="D179" s="27">
        <v>40.04</v>
      </c>
      <c r="E179" s="27">
        <v>7.8</v>
      </c>
      <c r="F179" s="27">
        <v>35.200000000000003</v>
      </c>
      <c r="G179" s="28">
        <v>95</v>
      </c>
      <c r="H179" s="27">
        <v>131</v>
      </c>
      <c r="I179" s="29">
        <v>40.04</v>
      </c>
      <c r="J179" s="29">
        <f>IF(ISBLANK(E179),U$19,E179)</f>
        <v>7.8</v>
      </c>
      <c r="K179" s="29">
        <f>IF(ISBLANK(F179),U$20,F179)</f>
        <v>35.200000000000003</v>
      </c>
      <c r="L179" s="29">
        <f>IF(ISBLANK(G179),U$21,G179)</f>
        <v>95</v>
      </c>
      <c r="M179" s="29">
        <f>IF(ISBLANK(H179),VLOOKUP(B179,$O$1:$P$9,2,TRUE),H179)</f>
        <v>131</v>
      </c>
    </row>
    <row r="180" spans="1:13" ht="15.75" customHeight="1" x14ac:dyDescent="0.5">
      <c r="A180" s="25">
        <v>179</v>
      </c>
      <c r="B180" s="25">
        <f t="shared" si="5"/>
        <v>2</v>
      </c>
      <c r="C180" s="26">
        <f t="shared" si="0"/>
        <v>45174</v>
      </c>
      <c r="D180" s="27">
        <v>63.339999999999996</v>
      </c>
      <c r="E180" s="27">
        <v>2.2999999999999998</v>
      </c>
      <c r="F180" s="27">
        <v>23.7</v>
      </c>
      <c r="G180" s="28">
        <v>19.339999999999996</v>
      </c>
      <c r="H180" s="27">
        <v>131</v>
      </c>
      <c r="I180" s="29">
        <v>63.339999999999996</v>
      </c>
      <c r="J180" s="29">
        <f>IF(ISBLANK(E180),U$19,E180)</f>
        <v>2.2999999999999998</v>
      </c>
      <c r="K180" s="29">
        <f>IF(ISBLANK(F180),U$20,F180)</f>
        <v>23.7</v>
      </c>
      <c r="L180" s="29">
        <f>IF(ISBLANK(G180),U$21,G180)</f>
        <v>19.339999999999996</v>
      </c>
      <c r="M180" s="29">
        <f>IF(ISBLANK(H180),VLOOKUP(B180,$O$1:$P$9,2,TRUE),H180)</f>
        <v>131</v>
      </c>
    </row>
    <row r="181" spans="1:13" ht="15.75" customHeight="1" x14ac:dyDescent="0.5">
      <c r="A181" s="25">
        <v>180</v>
      </c>
      <c r="B181" s="25">
        <f t="shared" si="5"/>
        <v>3</v>
      </c>
      <c r="C181" s="26">
        <f t="shared" si="0"/>
        <v>45175</v>
      </c>
      <c r="D181" s="27">
        <v>41.12</v>
      </c>
      <c r="E181" s="27">
        <v>10</v>
      </c>
      <c r="F181" s="27">
        <v>17.600000000000001</v>
      </c>
      <c r="G181" s="28">
        <v>14.519999999999998</v>
      </c>
      <c r="H181" s="27">
        <v>135</v>
      </c>
      <c r="I181" s="29">
        <v>41.12</v>
      </c>
      <c r="J181" s="29">
        <f>IF(ISBLANK(E181),U$19,E181)</f>
        <v>10</v>
      </c>
      <c r="K181" s="29">
        <f>IF(ISBLANK(F181),U$20,F181)</f>
        <v>17.600000000000001</v>
      </c>
      <c r="L181" s="29">
        <f>IF(ISBLANK(G181),U$21,G181)</f>
        <v>14.519999999999998</v>
      </c>
      <c r="M181" s="29">
        <f>IF(ISBLANK(H181),VLOOKUP(B181,$O$1:$P$9,2,TRUE),H181)</f>
        <v>135</v>
      </c>
    </row>
    <row r="182" spans="1:13" ht="15.75" customHeight="1" x14ac:dyDescent="0.5">
      <c r="A182" s="25">
        <v>181</v>
      </c>
      <c r="B182" s="25">
        <f t="shared" si="5"/>
        <v>4</v>
      </c>
      <c r="C182" s="26">
        <f t="shared" si="0"/>
        <v>45176</v>
      </c>
      <c r="D182" s="27">
        <v>36.32</v>
      </c>
      <c r="E182" s="27">
        <v>2.6</v>
      </c>
      <c r="F182" s="27">
        <v>8.3000000000000007</v>
      </c>
      <c r="G182" s="28">
        <v>13.64</v>
      </c>
      <c r="H182" s="27">
        <v>108</v>
      </c>
      <c r="I182" s="29">
        <v>36.32</v>
      </c>
      <c r="J182" s="29">
        <f>IF(ISBLANK(E182),U$19,E182)</f>
        <v>2.6</v>
      </c>
      <c r="K182" s="29">
        <f>IF(ISBLANK(F182),U$20,F182)</f>
        <v>8.3000000000000007</v>
      </c>
      <c r="L182" s="29">
        <f>IF(ISBLANK(G182),U$21,G182)</f>
        <v>13.64</v>
      </c>
      <c r="M182" s="29">
        <f>IF(ISBLANK(H182),VLOOKUP(B182,$O$1:$P$9,2,TRUE),H182)</f>
        <v>108</v>
      </c>
    </row>
    <row r="183" spans="1:13" ht="15.75" customHeight="1" x14ac:dyDescent="0.5">
      <c r="A183" s="25">
        <v>182</v>
      </c>
      <c r="B183" s="25">
        <f t="shared" si="5"/>
        <v>5</v>
      </c>
      <c r="C183" s="26">
        <f t="shared" si="0"/>
        <v>45177</v>
      </c>
      <c r="D183" s="27">
        <v>52.7</v>
      </c>
      <c r="E183" s="27">
        <v>5.4</v>
      </c>
      <c r="F183" s="27">
        <v>27.4</v>
      </c>
      <c r="G183" s="28">
        <v>13.59</v>
      </c>
      <c r="H183" s="27">
        <v>124</v>
      </c>
      <c r="I183" s="29">
        <v>52.7</v>
      </c>
      <c r="J183" s="29">
        <f>IF(ISBLANK(E183),U$19,E183)</f>
        <v>5.4</v>
      </c>
      <c r="K183" s="29">
        <f>IF(ISBLANK(F183),U$20,F183)</f>
        <v>27.4</v>
      </c>
      <c r="L183" s="29">
        <f>IF(ISBLANK(G183),U$21,G183)</f>
        <v>13.59</v>
      </c>
      <c r="M183" s="29">
        <f>IF(ISBLANK(H183),VLOOKUP(B183,$O$1:$P$9,2,TRUE),H183)</f>
        <v>124</v>
      </c>
    </row>
    <row r="184" spans="1:13" ht="15.75" customHeight="1" x14ac:dyDescent="0.5">
      <c r="A184" s="25">
        <v>183</v>
      </c>
      <c r="B184" s="25">
        <f t="shared" si="5"/>
        <v>6</v>
      </c>
      <c r="C184" s="26">
        <f t="shared" si="0"/>
        <v>45178</v>
      </c>
      <c r="D184" s="27">
        <v>18.240000000000002</v>
      </c>
      <c r="E184" s="27">
        <v>5.7</v>
      </c>
      <c r="F184" s="27">
        <v>29.7</v>
      </c>
      <c r="G184" s="28">
        <v>16.59</v>
      </c>
      <c r="H184" s="27">
        <v>105</v>
      </c>
      <c r="I184" s="29">
        <v>18.240000000000002</v>
      </c>
      <c r="J184" s="29">
        <f>IF(ISBLANK(E184),U$19,E184)</f>
        <v>5.7</v>
      </c>
      <c r="K184" s="29">
        <f>IF(ISBLANK(F184),U$20,F184)</f>
        <v>29.7</v>
      </c>
      <c r="L184" s="29">
        <f>IF(ISBLANK(G184),U$21,G184)</f>
        <v>16.59</v>
      </c>
      <c r="M184" s="29">
        <f>IF(ISBLANK(H184),VLOOKUP(B184,$O$1:$P$9,2,TRUE),H184)</f>
        <v>105</v>
      </c>
    </row>
    <row r="185" spans="1:13" ht="15.75" customHeight="1" x14ac:dyDescent="0.5">
      <c r="A185" s="25">
        <v>184</v>
      </c>
      <c r="B185" s="25">
        <f t="shared" si="5"/>
        <v>7</v>
      </c>
      <c r="C185" s="26">
        <f t="shared" si="0"/>
        <v>45179</v>
      </c>
      <c r="D185" s="27">
        <v>65.52000000000001</v>
      </c>
      <c r="E185" s="27">
        <v>43</v>
      </c>
      <c r="F185" s="27">
        <v>71.8</v>
      </c>
      <c r="G185" s="28">
        <v>21.540000000000006</v>
      </c>
      <c r="H185" s="27">
        <v>272</v>
      </c>
      <c r="I185" s="29">
        <v>65.52000000000001</v>
      </c>
      <c r="J185" s="29">
        <f>IF(ISBLANK(E185),U$19,E185)</f>
        <v>43</v>
      </c>
      <c r="K185" s="29">
        <f>IF(ISBLANK(F185),U$20,F185)</f>
        <v>71.8</v>
      </c>
      <c r="L185" s="29">
        <f>IF(ISBLANK(G185),U$21,G185)</f>
        <v>21.540000000000006</v>
      </c>
      <c r="M185" s="29">
        <f>IF(ISBLANK(H185),VLOOKUP(B185,$O$1:$P$9,2,TRUE),H185)</f>
        <v>272</v>
      </c>
    </row>
    <row r="186" spans="1:13" ht="15.75" customHeight="1" x14ac:dyDescent="0.5">
      <c r="A186" s="25">
        <v>185</v>
      </c>
      <c r="B186" s="25">
        <f t="shared" si="5"/>
        <v>1</v>
      </c>
      <c r="C186" s="26">
        <f t="shared" si="0"/>
        <v>45180</v>
      </c>
      <c r="D186" s="27">
        <v>58.760000000000005</v>
      </c>
      <c r="E186" s="27">
        <v>21.3</v>
      </c>
      <c r="F186" s="27">
        <v>30</v>
      </c>
      <c r="G186" s="28">
        <v>24.03</v>
      </c>
      <c r="H186" s="27">
        <v>188</v>
      </c>
      <c r="I186" s="29">
        <v>58.760000000000005</v>
      </c>
      <c r="J186" s="29">
        <f>IF(ISBLANK(E186),U$19,E186)</f>
        <v>21.3</v>
      </c>
      <c r="K186" s="29">
        <f>IF(ISBLANK(F186),U$20,F186)</f>
        <v>30</v>
      </c>
      <c r="L186" s="29">
        <f>IF(ISBLANK(G186),U$21,G186)</f>
        <v>24.03</v>
      </c>
      <c r="M186" s="29">
        <f>IF(ISBLANK(H186),VLOOKUP(B186,$O$1:$P$9,2,TRUE),H186)</f>
        <v>188</v>
      </c>
    </row>
    <row r="187" spans="1:13" ht="15.75" customHeight="1" x14ac:dyDescent="0.5">
      <c r="A187" s="25">
        <v>186</v>
      </c>
      <c r="B187" s="25">
        <f t="shared" si="5"/>
        <v>2</v>
      </c>
      <c r="C187" s="26">
        <f t="shared" si="0"/>
        <v>45181</v>
      </c>
      <c r="D187" s="27">
        <v>46</v>
      </c>
      <c r="E187" s="27">
        <v>45.1</v>
      </c>
      <c r="F187" s="27">
        <v>19.600000000000001</v>
      </c>
      <c r="G187" s="28">
        <v>35.209999999999994</v>
      </c>
      <c r="H187" s="27">
        <v>228</v>
      </c>
      <c r="I187" s="29">
        <v>46</v>
      </c>
      <c r="J187" s="29">
        <f>IF(ISBLANK(E187),U$19,E187)</f>
        <v>45.1</v>
      </c>
      <c r="K187" s="29">
        <f>IF(ISBLANK(F187),U$20,F187)</f>
        <v>19.600000000000001</v>
      </c>
      <c r="L187" s="29">
        <f>IF(ISBLANK(G187),U$21,G187)</f>
        <v>35.209999999999994</v>
      </c>
      <c r="M187" s="29">
        <f>IF(ISBLANK(H187),VLOOKUP(B187,$O$1:$P$9,2,TRUE),H187)</f>
        <v>228</v>
      </c>
    </row>
    <row r="188" spans="1:13" ht="15.75" customHeight="1" x14ac:dyDescent="0.5">
      <c r="A188" s="25">
        <v>187</v>
      </c>
      <c r="B188" s="25">
        <f t="shared" si="5"/>
        <v>3</v>
      </c>
      <c r="C188" s="26">
        <f t="shared" si="0"/>
        <v>45182</v>
      </c>
      <c r="D188" s="27">
        <v>35.9</v>
      </c>
      <c r="E188" s="27">
        <v>2.1</v>
      </c>
      <c r="F188" s="27">
        <v>26.6</v>
      </c>
      <c r="G188" s="28">
        <v>4.3599999999999994</v>
      </c>
      <c r="H188" s="27">
        <v>108</v>
      </c>
      <c r="I188" s="29">
        <v>35.9</v>
      </c>
      <c r="J188" s="29">
        <f>IF(ISBLANK(E188),U$19,E188)</f>
        <v>2.1</v>
      </c>
      <c r="K188" s="29">
        <f>IF(ISBLANK(F188),U$20,F188)</f>
        <v>26.6</v>
      </c>
      <c r="L188" s="29">
        <f>IF(ISBLANK(G188),U$21,G188)</f>
        <v>4.3599999999999994</v>
      </c>
      <c r="M188" s="29">
        <f>IF(ISBLANK(H188),VLOOKUP(B188,$O$1:$P$9,2,TRUE),H188)</f>
        <v>108</v>
      </c>
    </row>
    <row r="189" spans="1:13" ht="15.75" customHeight="1" x14ac:dyDescent="0.5">
      <c r="A189" s="25">
        <v>188</v>
      </c>
      <c r="B189" s="25">
        <f t="shared" si="5"/>
        <v>4</v>
      </c>
      <c r="C189" s="26">
        <f t="shared" si="0"/>
        <v>45183</v>
      </c>
      <c r="D189" s="27">
        <v>41.22</v>
      </c>
      <c r="E189" s="27">
        <v>28.7</v>
      </c>
      <c r="F189" s="27">
        <v>18.2</v>
      </c>
      <c r="G189" s="28">
        <v>26.18</v>
      </c>
      <c r="H189" s="27">
        <v>186</v>
      </c>
      <c r="I189" s="29">
        <v>41.22</v>
      </c>
      <c r="J189" s="29">
        <f>IF(ISBLANK(E189),U$19,E189)</f>
        <v>28.7</v>
      </c>
      <c r="K189" s="29">
        <f>IF(ISBLANK(F189),U$20,F189)</f>
        <v>18.2</v>
      </c>
      <c r="L189" s="29">
        <f>IF(ISBLANK(G189),U$21,G189)</f>
        <v>26.18</v>
      </c>
      <c r="M189" s="29">
        <f>IF(ISBLANK(H189),VLOOKUP(B189,$O$1:$P$9,2,TRUE),H189)</f>
        <v>186</v>
      </c>
    </row>
    <row r="190" spans="1:13" ht="15.75" customHeight="1" x14ac:dyDescent="0.5">
      <c r="A190" s="25">
        <v>189</v>
      </c>
      <c r="B190" s="25">
        <f t="shared" si="5"/>
        <v>5</v>
      </c>
      <c r="C190" s="26">
        <f t="shared" si="0"/>
        <v>45184</v>
      </c>
      <c r="D190" s="27">
        <v>59.2</v>
      </c>
      <c r="E190" s="27">
        <v>13.9</v>
      </c>
      <c r="F190" s="27">
        <v>3.7</v>
      </c>
      <c r="G190" s="28">
        <v>34.070000000000007</v>
      </c>
      <c r="H190" s="27">
        <v>167</v>
      </c>
      <c r="I190" s="29">
        <v>59.2</v>
      </c>
      <c r="J190" s="29">
        <f>IF(ISBLANK(E190),U$19,E190)</f>
        <v>13.9</v>
      </c>
      <c r="K190" s="29">
        <f>IF(ISBLANK(F190),U$20,F190)</f>
        <v>3.7</v>
      </c>
      <c r="L190" s="29">
        <f>IF(ISBLANK(G190),U$21,G190)</f>
        <v>34.070000000000007</v>
      </c>
      <c r="M190" s="29">
        <f>IF(ISBLANK(H190),VLOOKUP(B190,$O$1:$P$9,2,TRUE),H190)</f>
        <v>167</v>
      </c>
    </row>
    <row r="191" spans="1:13" ht="15.75" customHeight="1" x14ac:dyDescent="0.5">
      <c r="A191" s="25">
        <v>190</v>
      </c>
      <c r="B191" s="25">
        <f t="shared" si="5"/>
        <v>6</v>
      </c>
      <c r="C191" s="26">
        <f t="shared" si="0"/>
        <v>45185</v>
      </c>
      <c r="D191" s="27">
        <v>6.74</v>
      </c>
      <c r="E191" s="27">
        <v>12.1</v>
      </c>
      <c r="F191" s="27">
        <v>23.4</v>
      </c>
      <c r="G191" s="28">
        <v>18.560000000000002</v>
      </c>
      <c r="H191" s="27">
        <v>83</v>
      </c>
      <c r="I191" s="29">
        <v>6.74</v>
      </c>
      <c r="J191" s="29">
        <f>IF(ISBLANK(E191),U$19,E191)</f>
        <v>12.1</v>
      </c>
      <c r="K191" s="29">
        <f>IF(ISBLANK(F191),U$20,F191)</f>
        <v>23.4</v>
      </c>
      <c r="L191" s="29">
        <f>IF(ISBLANK(G191),U$21,G191)</f>
        <v>18.560000000000002</v>
      </c>
      <c r="M191" s="29">
        <f>IF(ISBLANK(H191),VLOOKUP(B191,$O$1:$P$9,2,TRUE),H191)</f>
        <v>83</v>
      </c>
    </row>
    <row r="192" spans="1:13" ht="15.75" customHeight="1" x14ac:dyDescent="0.5">
      <c r="A192" s="25">
        <v>191</v>
      </c>
      <c r="B192" s="25">
        <f t="shared" si="5"/>
        <v>7</v>
      </c>
      <c r="C192" s="26">
        <f t="shared" si="0"/>
        <v>45186</v>
      </c>
      <c r="D192" s="27">
        <v>15.9</v>
      </c>
      <c r="E192" s="27">
        <v>41.1</v>
      </c>
      <c r="F192" s="27">
        <v>5.8</v>
      </c>
      <c r="G192" s="28">
        <v>22.18</v>
      </c>
      <c r="H192" s="27">
        <v>114</v>
      </c>
      <c r="I192" s="29">
        <v>15.9</v>
      </c>
      <c r="J192" s="29">
        <f>IF(ISBLANK(E192),U$19,E192)</f>
        <v>41.1</v>
      </c>
      <c r="K192" s="29">
        <f>IF(ISBLANK(F192),U$20,F192)</f>
        <v>5.8</v>
      </c>
      <c r="L192" s="29">
        <f>IF(ISBLANK(G192),U$21,G192)</f>
        <v>22.18</v>
      </c>
      <c r="M192" s="29">
        <f>IF(ISBLANK(H192),VLOOKUP(B192,$O$1:$P$9,2,TRUE),H192)</f>
        <v>114</v>
      </c>
    </row>
    <row r="193" spans="1:13" ht="15.75" customHeight="1" x14ac:dyDescent="0.5">
      <c r="A193" s="25">
        <v>192</v>
      </c>
      <c r="B193" s="25">
        <f t="shared" si="5"/>
        <v>1</v>
      </c>
      <c r="C193" s="26">
        <f t="shared" si="0"/>
        <v>45187</v>
      </c>
      <c r="D193" s="27">
        <v>21.1</v>
      </c>
      <c r="E193" s="27">
        <v>10.8</v>
      </c>
      <c r="F193" s="27">
        <v>6</v>
      </c>
      <c r="G193" s="28">
        <v>10.549999999999999</v>
      </c>
      <c r="H193" s="27">
        <v>116</v>
      </c>
      <c r="I193" s="29">
        <v>21.1</v>
      </c>
      <c r="J193" s="29">
        <f>IF(ISBLANK(E193),U$19,E193)</f>
        <v>10.8</v>
      </c>
      <c r="K193" s="29">
        <f>IF(ISBLANK(F193),U$20,F193)</f>
        <v>6</v>
      </c>
      <c r="L193" s="29">
        <f>IF(ISBLANK(G193),U$21,G193)</f>
        <v>10.549999999999999</v>
      </c>
      <c r="M193" s="29">
        <f>IF(ISBLANK(H193),VLOOKUP(B193,$O$1:$P$9,2,TRUE),H193)</f>
        <v>116</v>
      </c>
    </row>
    <row r="194" spans="1:13" ht="15.75" customHeight="1" x14ac:dyDescent="0.5">
      <c r="A194" s="25">
        <v>193</v>
      </c>
      <c r="B194" s="25">
        <f t="shared" si="5"/>
        <v>2</v>
      </c>
      <c r="C194" s="26">
        <f t="shared" si="0"/>
        <v>45188</v>
      </c>
      <c r="D194" s="27">
        <v>12.44</v>
      </c>
      <c r="E194" s="27">
        <v>4.0999999999999996</v>
      </c>
      <c r="F194" s="27">
        <v>31.6</v>
      </c>
      <c r="G194" s="28">
        <v>11.129999999999999</v>
      </c>
      <c r="H194" s="27">
        <v>62</v>
      </c>
      <c r="I194" s="29">
        <v>12.44</v>
      </c>
      <c r="J194" s="29">
        <f>IF(ISBLANK(E194),U$19,E194)</f>
        <v>4.0999999999999996</v>
      </c>
      <c r="K194" s="29">
        <f>IF(ISBLANK(F194),U$20,F194)</f>
        <v>31.6</v>
      </c>
      <c r="L194" s="29">
        <f>IF(ISBLANK(G194),U$21,G194)</f>
        <v>11.129999999999999</v>
      </c>
      <c r="M194" s="29">
        <f>IF(ISBLANK(H194),VLOOKUP(B194,$O$1:$P$9,2,TRUE),H194)</f>
        <v>62</v>
      </c>
    </row>
    <row r="195" spans="1:13" ht="15.75" customHeight="1" x14ac:dyDescent="0.5">
      <c r="A195" s="25">
        <v>194</v>
      </c>
      <c r="B195" s="25">
        <f t="shared" ref="B195:B201" si="6">WEEKDAY(C195,2)</f>
        <v>3</v>
      </c>
      <c r="C195" s="26">
        <f t="shared" si="0"/>
        <v>45189</v>
      </c>
      <c r="D195" s="27">
        <v>41.36</v>
      </c>
      <c r="E195" s="27">
        <v>42</v>
      </c>
      <c r="F195" s="27">
        <v>3.6</v>
      </c>
      <c r="G195" s="28">
        <v>36.24</v>
      </c>
      <c r="H195" s="27">
        <v>204</v>
      </c>
      <c r="I195" s="29">
        <v>41.36</v>
      </c>
      <c r="J195" s="29">
        <f>IF(ISBLANK(E195),U$19,E195)</f>
        <v>42</v>
      </c>
      <c r="K195" s="29">
        <f>IF(ISBLANK(F195),U$20,F195)</f>
        <v>3.6</v>
      </c>
      <c r="L195" s="29">
        <f>IF(ISBLANK(G195),U$21,G195)</f>
        <v>36.24</v>
      </c>
      <c r="M195" s="29">
        <f>IF(ISBLANK(H195),VLOOKUP(B195,$O$1:$P$9,2,TRUE),H195)</f>
        <v>204</v>
      </c>
    </row>
    <row r="196" spans="1:13" ht="15.75" customHeight="1" x14ac:dyDescent="0.5">
      <c r="A196" s="25">
        <v>195</v>
      </c>
      <c r="B196" s="25">
        <f t="shared" si="6"/>
        <v>4</v>
      </c>
      <c r="C196" s="26">
        <f t="shared" si="0"/>
        <v>45190</v>
      </c>
      <c r="D196" s="27">
        <v>32.94</v>
      </c>
      <c r="E196" s="27">
        <v>35.6</v>
      </c>
      <c r="F196" s="27">
        <v>6</v>
      </c>
      <c r="G196" s="28"/>
      <c r="H196" s="27">
        <v>184</v>
      </c>
      <c r="I196" s="29">
        <v>32.94</v>
      </c>
      <c r="J196" s="29">
        <f>IF(ISBLANK(E196),U$19,E196)</f>
        <v>35.6</v>
      </c>
      <c r="K196" s="29">
        <f>IF(ISBLANK(F196),U$20,F196)</f>
        <v>6</v>
      </c>
      <c r="L196" s="29">
        <f>IF(ISBLANK(G196),U$21,G196)</f>
        <v>17.100000000000001</v>
      </c>
      <c r="M196" s="29">
        <f>IF(ISBLANK(H196),VLOOKUP(B196,$O$1:$P$9,2,TRUE),H196)</f>
        <v>184</v>
      </c>
    </row>
    <row r="197" spans="1:13" ht="15.75" customHeight="1" x14ac:dyDescent="0.5">
      <c r="A197" s="25">
        <v>196</v>
      </c>
      <c r="B197" s="25">
        <f t="shared" si="6"/>
        <v>5</v>
      </c>
      <c r="C197" s="26">
        <f t="shared" si="0"/>
        <v>45191</v>
      </c>
      <c r="D197" s="27">
        <v>14.64</v>
      </c>
      <c r="E197" s="27">
        <v>3.7</v>
      </c>
      <c r="F197" s="27">
        <v>13.8</v>
      </c>
      <c r="G197" s="28">
        <v>0.14999999999999947</v>
      </c>
      <c r="H197" s="27">
        <v>91</v>
      </c>
      <c r="I197" s="29">
        <v>14.64</v>
      </c>
      <c r="J197" s="29">
        <f>IF(ISBLANK(E197),U$19,E197)</f>
        <v>3.7</v>
      </c>
      <c r="K197" s="29">
        <f>IF(ISBLANK(F197),U$20,F197)</f>
        <v>13.8</v>
      </c>
      <c r="L197" s="29">
        <f>IF(ISBLANK(G197),U$21,G197)</f>
        <v>0.14999999999999947</v>
      </c>
      <c r="M197" s="29">
        <f>IF(ISBLANK(H197),VLOOKUP(B197,$O$1:$P$9,2,TRUE),H197)</f>
        <v>91</v>
      </c>
    </row>
    <row r="198" spans="1:13" ht="15.75" customHeight="1" x14ac:dyDescent="0.5">
      <c r="A198" s="25">
        <v>197</v>
      </c>
      <c r="B198" s="25">
        <f t="shared" si="6"/>
        <v>6</v>
      </c>
      <c r="C198" s="26">
        <f t="shared" si="0"/>
        <v>45192</v>
      </c>
      <c r="D198" s="27">
        <v>27.84</v>
      </c>
      <c r="E198" s="27">
        <v>4.9000000000000004</v>
      </c>
      <c r="F198" s="27">
        <v>8.1</v>
      </c>
      <c r="G198" s="28">
        <v>8.6300000000000008</v>
      </c>
      <c r="H198" s="27">
        <v>116</v>
      </c>
      <c r="I198" s="29">
        <v>27.84</v>
      </c>
      <c r="J198" s="29">
        <f>IF(ISBLANK(E198),U$19,E198)</f>
        <v>4.9000000000000004</v>
      </c>
      <c r="K198" s="29">
        <f>IF(ISBLANK(F198),U$20,F198)</f>
        <v>8.1</v>
      </c>
      <c r="L198" s="29">
        <f>IF(ISBLANK(G198),U$21,G198)</f>
        <v>8.6300000000000008</v>
      </c>
      <c r="M198" s="29">
        <f>IF(ISBLANK(H198),VLOOKUP(B198,$O$1:$P$9,2,TRUE),H198)</f>
        <v>116</v>
      </c>
    </row>
    <row r="199" spans="1:13" ht="15.75" customHeight="1" x14ac:dyDescent="0.5">
      <c r="A199" s="25">
        <v>198</v>
      </c>
      <c r="B199" s="25">
        <f t="shared" si="6"/>
        <v>7</v>
      </c>
      <c r="C199" s="26">
        <f t="shared" si="0"/>
        <v>45193</v>
      </c>
      <c r="D199" s="27">
        <v>44.4</v>
      </c>
      <c r="E199" s="27">
        <v>9.3000000000000007</v>
      </c>
      <c r="F199" s="27">
        <v>6.4</v>
      </c>
      <c r="G199" s="28">
        <v>19.79</v>
      </c>
      <c r="H199" s="27">
        <v>139</v>
      </c>
      <c r="I199" s="29">
        <v>44.4</v>
      </c>
      <c r="J199" s="29">
        <f>IF(ISBLANK(E199),U$19,E199)</f>
        <v>9.3000000000000007</v>
      </c>
      <c r="K199" s="29">
        <f>IF(ISBLANK(F199),U$20,F199)</f>
        <v>6.4</v>
      </c>
      <c r="L199" s="29">
        <f>IF(ISBLANK(G199),U$21,G199)</f>
        <v>19.79</v>
      </c>
      <c r="M199" s="29">
        <f>IF(ISBLANK(H199),VLOOKUP(B199,$O$1:$P$9,2,TRUE),H199)</f>
        <v>139</v>
      </c>
    </row>
    <row r="200" spans="1:13" ht="15.75" customHeight="1" x14ac:dyDescent="0.5">
      <c r="A200" s="25">
        <v>199</v>
      </c>
      <c r="B200" s="25">
        <f t="shared" si="6"/>
        <v>1</v>
      </c>
      <c r="C200" s="26">
        <f t="shared" si="0"/>
        <v>45194</v>
      </c>
      <c r="D200" s="27">
        <v>57.720000000000006</v>
      </c>
      <c r="E200" s="27">
        <v>42</v>
      </c>
      <c r="F200" s="27">
        <v>66.2</v>
      </c>
      <c r="G200" s="28">
        <v>22.879999999999995</v>
      </c>
      <c r="H200" s="27">
        <v>235.5</v>
      </c>
      <c r="I200" s="29">
        <v>57.720000000000006</v>
      </c>
      <c r="J200" s="29">
        <f>IF(ISBLANK(E200),U$19,E200)</f>
        <v>42</v>
      </c>
      <c r="K200" s="29">
        <f>IF(ISBLANK(F200),U$20,F200)</f>
        <v>66.2</v>
      </c>
      <c r="L200" s="29">
        <f>IF(ISBLANK(G200),U$21,G200)</f>
        <v>22.879999999999995</v>
      </c>
      <c r="M200" s="29">
        <f>IF(ISBLANK(H200),VLOOKUP(B200,$O$1:$P$9,2,TRUE),H200)</f>
        <v>235.5</v>
      </c>
    </row>
    <row r="201" spans="1:13" ht="15.75" customHeight="1" x14ac:dyDescent="0.5">
      <c r="A201" s="25">
        <v>200</v>
      </c>
      <c r="B201" s="25">
        <f t="shared" si="6"/>
        <v>2</v>
      </c>
      <c r="C201" s="26">
        <v>45195</v>
      </c>
      <c r="D201" s="27">
        <v>52.42</v>
      </c>
      <c r="E201" s="27">
        <v>8.6</v>
      </c>
      <c r="F201" s="27">
        <v>8.6999999999999993</v>
      </c>
      <c r="G201" s="28">
        <v>1</v>
      </c>
      <c r="H201" s="27">
        <v>139</v>
      </c>
      <c r="I201" s="29">
        <v>52.42</v>
      </c>
      <c r="J201" s="29">
        <f>IF(ISBLANK(E201),U$19,E201)</f>
        <v>8.6</v>
      </c>
      <c r="K201" s="29">
        <f>IF(ISBLANK(F201),U$20,F201)</f>
        <v>8.6999999999999993</v>
      </c>
      <c r="L201" s="29">
        <f>IF(ISBLANK(G201),U$21,G201)</f>
        <v>1</v>
      </c>
      <c r="M201" s="29">
        <f>IF(ISBLANK(H201),VLOOKUP(B201,$O$1:$P$9,2,TRUE),H201)</f>
        <v>139</v>
      </c>
    </row>
    <row r="202" spans="1:13" ht="15.75" customHeight="1" x14ac:dyDescent="0.5"/>
    <row r="203" spans="1:13" ht="15.75" customHeight="1" x14ac:dyDescent="0.5"/>
    <row r="204" spans="1:13" ht="15.75" customHeight="1" x14ac:dyDescent="0.5"/>
    <row r="205" spans="1:13" ht="15.75" customHeight="1" x14ac:dyDescent="0.5"/>
    <row r="206" spans="1:13" ht="15.75" customHeight="1" x14ac:dyDescent="0.5"/>
    <row r="207" spans="1:13" ht="15.75" customHeight="1" x14ac:dyDescent="0.5"/>
    <row r="208" spans="1:13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  <row r="1001" ht="15.75" customHeight="1" x14ac:dyDescent="0.5"/>
    <row r="1002" ht="15.75" customHeight="1" x14ac:dyDescent="0.5"/>
    <row r="1003" ht="15.75" customHeight="1" x14ac:dyDescent="0.5"/>
    <row r="1004" ht="15.75" customHeight="1" x14ac:dyDescent="0.5"/>
    <row r="1005" ht="15.75" customHeight="1" x14ac:dyDescent="0.5"/>
    <row r="1006" ht="15.75" customHeight="1" x14ac:dyDescent="0.5"/>
    <row r="1007" ht="15.75" customHeight="1" x14ac:dyDescent="0.5"/>
    <row r="1008" ht="15.75" customHeight="1" x14ac:dyDescent="0.5"/>
    <row r="1009" ht="15.75" customHeight="1" x14ac:dyDescent="0.5"/>
    <row r="1010" ht="15.75" customHeight="1" x14ac:dyDescent="0.5"/>
    <row r="1011" ht="15.75" customHeight="1" x14ac:dyDescent="0.5"/>
    <row r="1012" ht="15.75" customHeight="1" x14ac:dyDescent="0.5"/>
    <row r="1013" ht="15.75" customHeight="1" x14ac:dyDescent="0.5"/>
    <row r="1014" ht="15.75" customHeight="1" x14ac:dyDescent="0.5"/>
  </sheetData>
  <autoFilter ref="A1:M201" xr:uid="{00000000-0001-0000-0000-000000000000}"/>
  <mergeCells count="1">
    <mergeCell ref="O16:Y16"/>
  </mergeCells>
  <pageMargins left="0.7" right="0.7" top="0.75" bottom="0.75" header="0" footer="0"/>
  <pageSetup orientation="landscape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CDA5-4C83-3747-A4FE-4E130E342A6B}">
  <dimension ref="A1:D1000"/>
  <sheetViews>
    <sheetView showGridLines="0" zoomScale="85" zoomScaleNormal="280" workbookViewId="0">
      <selection activeCell="K24" sqref="K24"/>
    </sheetView>
  </sheetViews>
  <sheetFormatPr defaultColWidth="11.1875" defaultRowHeight="15" customHeight="1" x14ac:dyDescent="0.5"/>
  <cols>
    <col min="1" max="1" width="10.5" customWidth="1"/>
    <col min="2" max="2" width="12.5" customWidth="1"/>
    <col min="3" max="3" width="9.75" bestFit="1" customWidth="1"/>
    <col min="4" max="4" width="15.25" style="4" customWidth="1"/>
    <col min="5" max="22" width="10.5" customWidth="1"/>
  </cols>
  <sheetData>
    <row r="1" spans="1:4" ht="15.75" customHeight="1" x14ac:dyDescent="0.5">
      <c r="A1" s="30" t="s">
        <v>0</v>
      </c>
      <c r="B1" s="30" t="s">
        <v>2</v>
      </c>
      <c r="C1" s="30" t="s">
        <v>5</v>
      </c>
      <c r="D1" s="37" t="s">
        <v>12</v>
      </c>
    </row>
    <row r="2" spans="1:4" ht="15.75" customHeight="1" x14ac:dyDescent="0.5">
      <c r="A2" s="31">
        <v>131</v>
      </c>
      <c r="B2" s="32">
        <v>6</v>
      </c>
      <c r="C2" s="32">
        <v>28</v>
      </c>
      <c r="D2" s="33">
        <f>IF(ISBLANK(B2),AVERAGE(#REF!),B2)</f>
        <v>6</v>
      </c>
    </row>
    <row r="3" spans="1:4" ht="15.75" customHeight="1" x14ac:dyDescent="0.5">
      <c r="A3" s="31">
        <v>156</v>
      </c>
      <c r="B3" s="32">
        <v>9.82</v>
      </c>
      <c r="C3" s="32">
        <v>35</v>
      </c>
      <c r="D3" s="33">
        <f>IF(ISBLANK(B3),AVERAGE(#REF!),B3)</f>
        <v>9.82</v>
      </c>
    </row>
    <row r="4" spans="1:4" ht="15.75" customHeight="1" x14ac:dyDescent="0.5">
      <c r="A4" s="31">
        <v>9</v>
      </c>
      <c r="B4" s="32">
        <v>9.7200000000000006</v>
      </c>
      <c r="C4" s="32">
        <v>54</v>
      </c>
      <c r="D4" s="33">
        <f>IF(ISBLANK(B4),AVERAGE(B1:B7),B4)</f>
        <v>9.7200000000000006</v>
      </c>
    </row>
    <row r="5" spans="1:4" ht="15.75" customHeight="1" x14ac:dyDescent="0.5">
      <c r="A5" s="31">
        <v>109</v>
      </c>
      <c r="B5" s="32">
        <v>9.620000000000001</v>
      </c>
      <c r="C5" s="32">
        <v>54</v>
      </c>
      <c r="D5" s="33">
        <f>IF(ISBLANK(B5),AVERAGE(B2:B8),B5)</f>
        <v>9.620000000000001</v>
      </c>
    </row>
    <row r="6" spans="1:4" ht="15.75" customHeight="1" x14ac:dyDescent="0.5">
      <c r="A6" s="31">
        <v>79</v>
      </c>
      <c r="B6" s="32">
        <v>8.08</v>
      </c>
      <c r="C6" s="32">
        <v>62</v>
      </c>
      <c r="D6" s="33">
        <f>IF(ISBLANK(B6),AVERAGE(B3:B9),B6)</f>
        <v>8.08</v>
      </c>
    </row>
    <row r="7" spans="1:4" ht="15.75" customHeight="1" x14ac:dyDescent="0.5">
      <c r="A7" s="31">
        <v>193</v>
      </c>
      <c r="B7" s="32">
        <v>12.44</v>
      </c>
      <c r="C7" s="32">
        <v>62</v>
      </c>
      <c r="D7" s="33">
        <f t="shared" ref="D4:D67" si="0">IF(ISBLANK(B7),AVERAGE(B4:B10),B7)</f>
        <v>12.44</v>
      </c>
    </row>
    <row r="8" spans="1:4" ht="15.75" customHeight="1" x14ac:dyDescent="0.5">
      <c r="A8" s="31">
        <v>57</v>
      </c>
      <c r="B8" s="32">
        <v>3.46</v>
      </c>
      <c r="C8" s="32">
        <v>71</v>
      </c>
      <c r="D8" s="33">
        <f t="shared" si="0"/>
        <v>3.46</v>
      </c>
    </row>
    <row r="9" spans="1:4" ht="15.75" customHeight="1" x14ac:dyDescent="0.5">
      <c r="A9" s="31">
        <v>133</v>
      </c>
      <c r="B9" s="32">
        <v>5.68</v>
      </c>
      <c r="C9" s="32">
        <v>71</v>
      </c>
      <c r="D9" s="33">
        <f t="shared" si="0"/>
        <v>5.68</v>
      </c>
    </row>
    <row r="10" spans="1:4" ht="15.75" customHeight="1" x14ac:dyDescent="0.5">
      <c r="A10" s="31">
        <v>92</v>
      </c>
      <c r="B10" s="32">
        <v>14.72</v>
      </c>
      <c r="C10" s="32">
        <v>74</v>
      </c>
      <c r="D10" s="33">
        <f t="shared" si="0"/>
        <v>14.72</v>
      </c>
    </row>
    <row r="11" spans="1:4" ht="15.75" customHeight="1" x14ac:dyDescent="0.5">
      <c r="A11" s="31">
        <v>120</v>
      </c>
      <c r="B11" s="32">
        <v>9.879999999999999</v>
      </c>
      <c r="C11" s="32">
        <v>77</v>
      </c>
      <c r="D11" s="33">
        <f t="shared" si="0"/>
        <v>9.879999999999999</v>
      </c>
    </row>
    <row r="12" spans="1:4" ht="15.75" customHeight="1" x14ac:dyDescent="0.5">
      <c r="A12" s="31">
        <v>127</v>
      </c>
      <c r="B12" s="32">
        <v>8.56</v>
      </c>
      <c r="C12" s="32">
        <v>78</v>
      </c>
      <c r="D12" s="33">
        <f t="shared" si="0"/>
        <v>8.56</v>
      </c>
    </row>
    <row r="13" spans="1:4" ht="15.75" customHeight="1" x14ac:dyDescent="0.5">
      <c r="A13" s="31">
        <v>122</v>
      </c>
      <c r="B13" s="32">
        <v>7.76</v>
      </c>
      <c r="C13" s="32">
        <v>81</v>
      </c>
      <c r="D13" s="33">
        <f t="shared" si="0"/>
        <v>7.76</v>
      </c>
    </row>
    <row r="14" spans="1:4" ht="15.75" customHeight="1" x14ac:dyDescent="0.5">
      <c r="A14" s="31">
        <v>61</v>
      </c>
      <c r="B14" s="32">
        <v>16.7</v>
      </c>
      <c r="C14" s="32">
        <v>83</v>
      </c>
      <c r="D14" s="33">
        <f t="shared" si="0"/>
        <v>16.7</v>
      </c>
    </row>
    <row r="15" spans="1:4" ht="15.75" customHeight="1" x14ac:dyDescent="0.5">
      <c r="A15" s="31">
        <v>77</v>
      </c>
      <c r="B15" s="32">
        <v>13.5</v>
      </c>
      <c r="C15" s="32">
        <v>83</v>
      </c>
      <c r="D15" s="33">
        <f t="shared" si="0"/>
        <v>13.5</v>
      </c>
    </row>
    <row r="16" spans="1:4" ht="15.75" customHeight="1" x14ac:dyDescent="0.5">
      <c r="A16" s="31">
        <v>190</v>
      </c>
      <c r="B16" s="32">
        <v>6.74</v>
      </c>
      <c r="C16" s="32">
        <v>83</v>
      </c>
      <c r="D16" s="33">
        <f t="shared" si="0"/>
        <v>6.74</v>
      </c>
    </row>
    <row r="17" spans="1:4" ht="15.75" customHeight="1" x14ac:dyDescent="0.5">
      <c r="A17" s="31">
        <v>159</v>
      </c>
      <c r="B17" s="32">
        <v>12.34</v>
      </c>
      <c r="C17" s="32">
        <v>85</v>
      </c>
      <c r="D17" s="33">
        <f t="shared" si="0"/>
        <v>12.34</v>
      </c>
    </row>
    <row r="18" spans="1:4" ht="15.75" customHeight="1" x14ac:dyDescent="0.5">
      <c r="A18" s="31">
        <v>6</v>
      </c>
      <c r="B18" s="32">
        <v>6.74</v>
      </c>
      <c r="C18" s="32">
        <v>86</v>
      </c>
      <c r="D18" s="33">
        <f t="shared" si="0"/>
        <v>6.74</v>
      </c>
    </row>
    <row r="19" spans="1:4" ht="15.75" customHeight="1" x14ac:dyDescent="0.5">
      <c r="A19" s="31">
        <v>107</v>
      </c>
      <c r="B19" s="32">
        <v>8</v>
      </c>
      <c r="C19" s="32">
        <v>86</v>
      </c>
      <c r="D19" s="33">
        <f t="shared" si="0"/>
        <v>8</v>
      </c>
    </row>
    <row r="20" spans="1:4" ht="15.75" customHeight="1" x14ac:dyDescent="0.5">
      <c r="A20" s="31">
        <v>45</v>
      </c>
      <c r="B20" s="32">
        <v>12.02</v>
      </c>
      <c r="C20" s="32">
        <v>89</v>
      </c>
      <c r="D20" s="33">
        <f t="shared" si="0"/>
        <v>12.02</v>
      </c>
    </row>
    <row r="21" spans="1:4" ht="15.75" customHeight="1" x14ac:dyDescent="0.5">
      <c r="A21" s="31">
        <v>167</v>
      </c>
      <c r="B21" s="32">
        <v>11.58</v>
      </c>
      <c r="C21" s="32">
        <v>90</v>
      </c>
      <c r="D21" s="33">
        <f t="shared" si="0"/>
        <v>11.58</v>
      </c>
    </row>
    <row r="22" spans="1:4" ht="15.75" customHeight="1" x14ac:dyDescent="0.5">
      <c r="A22" s="31">
        <v>171</v>
      </c>
      <c r="B22" s="32">
        <v>12</v>
      </c>
      <c r="C22" s="32">
        <v>90</v>
      </c>
      <c r="D22" s="33">
        <f t="shared" si="0"/>
        <v>12</v>
      </c>
    </row>
    <row r="23" spans="1:4" ht="15.75" customHeight="1" x14ac:dyDescent="0.5">
      <c r="A23" s="31">
        <v>196</v>
      </c>
      <c r="B23" s="32">
        <v>14.64</v>
      </c>
      <c r="C23" s="32">
        <v>91</v>
      </c>
      <c r="D23" s="33">
        <f t="shared" si="0"/>
        <v>14.64</v>
      </c>
    </row>
    <row r="24" spans="1:4" ht="15.75" customHeight="1" x14ac:dyDescent="0.5">
      <c r="A24" s="31">
        <v>35</v>
      </c>
      <c r="B24" s="32">
        <v>24.14</v>
      </c>
      <c r="C24" s="32">
        <v>91.5</v>
      </c>
      <c r="D24" s="33">
        <f t="shared" si="0"/>
        <v>24.14</v>
      </c>
    </row>
    <row r="25" spans="1:4" ht="15.75" customHeight="1" x14ac:dyDescent="0.5">
      <c r="A25" s="31">
        <v>128</v>
      </c>
      <c r="B25" s="32">
        <v>71.06</v>
      </c>
      <c r="C25" s="32">
        <v>92</v>
      </c>
      <c r="D25" s="33">
        <f t="shared" si="0"/>
        <v>71.06</v>
      </c>
    </row>
    <row r="26" spans="1:4" ht="15.75" customHeight="1" x14ac:dyDescent="0.5">
      <c r="A26" s="31">
        <v>91</v>
      </c>
      <c r="B26" s="32">
        <v>31.860000000000003</v>
      </c>
      <c r="C26" s="32">
        <v>93</v>
      </c>
      <c r="D26" s="33">
        <f t="shared" si="0"/>
        <v>31.860000000000003</v>
      </c>
    </row>
    <row r="27" spans="1:4" ht="15.75" customHeight="1" x14ac:dyDescent="0.5">
      <c r="A27" s="31">
        <v>173</v>
      </c>
      <c r="B27" s="32">
        <v>9.92</v>
      </c>
      <c r="C27" s="32">
        <v>93</v>
      </c>
      <c r="D27" s="33">
        <f t="shared" si="0"/>
        <v>9.92</v>
      </c>
    </row>
    <row r="28" spans="1:4" ht="15.75" customHeight="1" x14ac:dyDescent="0.5">
      <c r="A28" s="31">
        <v>11</v>
      </c>
      <c r="B28" s="32">
        <v>23.22</v>
      </c>
      <c r="C28" s="32">
        <v>95</v>
      </c>
      <c r="D28" s="33">
        <f t="shared" si="0"/>
        <v>23.22</v>
      </c>
    </row>
    <row r="29" spans="1:4" ht="15.75" customHeight="1" x14ac:dyDescent="0.5">
      <c r="A29" s="31">
        <v>13</v>
      </c>
      <c r="B29" s="32">
        <v>10.76</v>
      </c>
      <c r="C29" s="32">
        <v>95</v>
      </c>
      <c r="D29" s="33">
        <f t="shared" si="0"/>
        <v>10.76</v>
      </c>
    </row>
    <row r="30" spans="1:4" ht="15.75" customHeight="1" x14ac:dyDescent="0.5">
      <c r="A30" s="31">
        <v>3</v>
      </c>
      <c r="B30" s="32">
        <v>12.44</v>
      </c>
      <c r="C30" s="32">
        <v>96</v>
      </c>
      <c r="D30" s="33">
        <f t="shared" si="0"/>
        <v>12.44</v>
      </c>
    </row>
    <row r="31" spans="1:4" ht="15.75" customHeight="1" x14ac:dyDescent="0.5">
      <c r="A31" s="31">
        <v>137</v>
      </c>
      <c r="B31" s="32">
        <v>10.120000000000001</v>
      </c>
      <c r="C31" s="32">
        <v>98</v>
      </c>
      <c r="D31" s="33">
        <f t="shared" si="0"/>
        <v>10.120000000000001</v>
      </c>
    </row>
    <row r="32" spans="1:4" ht="15.75" customHeight="1" x14ac:dyDescent="0.5">
      <c r="A32" s="31">
        <v>67</v>
      </c>
      <c r="B32" s="32">
        <v>15.3</v>
      </c>
      <c r="C32" s="32">
        <v>104</v>
      </c>
      <c r="D32" s="33">
        <f t="shared" si="0"/>
        <v>15.3</v>
      </c>
    </row>
    <row r="33" spans="1:4" ht="15.75" customHeight="1" x14ac:dyDescent="0.5">
      <c r="A33" s="31">
        <v>108</v>
      </c>
      <c r="B33" s="32">
        <v>27.080000000000002</v>
      </c>
      <c r="C33" s="32">
        <v>104</v>
      </c>
      <c r="D33" s="33">
        <f t="shared" si="0"/>
        <v>27.080000000000002</v>
      </c>
    </row>
    <row r="34" spans="1:4" ht="15.75" customHeight="1" x14ac:dyDescent="0.5">
      <c r="A34" s="31">
        <v>76</v>
      </c>
      <c r="B34" s="32">
        <v>12.379999999999999</v>
      </c>
      <c r="C34" s="32">
        <v>105</v>
      </c>
      <c r="D34" s="33">
        <f t="shared" si="0"/>
        <v>12.379999999999999</v>
      </c>
    </row>
    <row r="35" spans="1:4" ht="15.75" customHeight="1" x14ac:dyDescent="0.5">
      <c r="A35" s="31">
        <v>183</v>
      </c>
      <c r="B35" s="32">
        <v>18.240000000000002</v>
      </c>
      <c r="C35" s="32">
        <v>105</v>
      </c>
      <c r="D35" s="33">
        <f t="shared" si="0"/>
        <v>18.240000000000002</v>
      </c>
    </row>
    <row r="36" spans="1:4" ht="15.75" customHeight="1" x14ac:dyDescent="0.5">
      <c r="A36" s="31">
        <v>73</v>
      </c>
      <c r="B36" s="32">
        <v>15.36</v>
      </c>
      <c r="C36" s="32">
        <v>106</v>
      </c>
      <c r="D36" s="33">
        <f t="shared" si="0"/>
        <v>15.36</v>
      </c>
    </row>
    <row r="37" spans="1:4" ht="15.75" customHeight="1" x14ac:dyDescent="0.5">
      <c r="A37" s="31">
        <v>118</v>
      </c>
      <c r="B37" s="32">
        <v>25.28</v>
      </c>
      <c r="C37" s="32">
        <v>108</v>
      </c>
      <c r="D37" s="33">
        <f t="shared" si="0"/>
        <v>25.28</v>
      </c>
    </row>
    <row r="38" spans="1:4" ht="15.75" customHeight="1" x14ac:dyDescent="0.5">
      <c r="A38" s="31">
        <v>181</v>
      </c>
      <c r="B38" s="32">
        <v>36.32</v>
      </c>
      <c r="C38" s="32">
        <v>108</v>
      </c>
      <c r="D38" s="33">
        <f t="shared" si="0"/>
        <v>36.32</v>
      </c>
    </row>
    <row r="39" spans="1:4" ht="15.75" customHeight="1" x14ac:dyDescent="0.5">
      <c r="A39" s="31">
        <v>187</v>
      </c>
      <c r="B39" s="32">
        <v>35.9</v>
      </c>
      <c r="C39" s="32">
        <v>108</v>
      </c>
      <c r="D39" s="33">
        <f t="shared" si="0"/>
        <v>35.9</v>
      </c>
    </row>
    <row r="40" spans="1:4" ht="15.75" customHeight="1" x14ac:dyDescent="0.5">
      <c r="A40" s="31">
        <v>66</v>
      </c>
      <c r="B40" s="32">
        <v>21.8</v>
      </c>
      <c r="C40" s="32">
        <v>109</v>
      </c>
      <c r="D40" s="33">
        <f t="shared" si="0"/>
        <v>21.8</v>
      </c>
    </row>
    <row r="41" spans="1:4" ht="15.75" customHeight="1" x14ac:dyDescent="0.5">
      <c r="A41" s="31">
        <v>139</v>
      </c>
      <c r="B41" s="32">
        <v>9.6</v>
      </c>
      <c r="C41" s="32">
        <v>109</v>
      </c>
      <c r="D41" s="33">
        <f t="shared" si="0"/>
        <v>9.6</v>
      </c>
    </row>
    <row r="42" spans="1:4" ht="15.75" customHeight="1" x14ac:dyDescent="0.5">
      <c r="A42" s="31">
        <v>25</v>
      </c>
      <c r="B42" s="32">
        <v>20.46</v>
      </c>
      <c r="C42" s="32">
        <v>110</v>
      </c>
      <c r="D42" s="33">
        <f t="shared" si="0"/>
        <v>20.46</v>
      </c>
    </row>
    <row r="43" spans="1:4" ht="15.75" customHeight="1" x14ac:dyDescent="0.5">
      <c r="A43" s="31">
        <v>149</v>
      </c>
      <c r="B43" s="32">
        <v>15.6</v>
      </c>
      <c r="C43" s="32">
        <v>110</v>
      </c>
      <c r="D43" s="33">
        <f t="shared" si="0"/>
        <v>15.6</v>
      </c>
    </row>
    <row r="44" spans="1:4" ht="15.75" customHeight="1" x14ac:dyDescent="0.5">
      <c r="A44" s="31">
        <v>50</v>
      </c>
      <c r="B44" s="32">
        <v>14.38</v>
      </c>
      <c r="C44" s="32">
        <v>111</v>
      </c>
      <c r="D44" s="33">
        <f t="shared" si="0"/>
        <v>14.38</v>
      </c>
    </row>
    <row r="45" spans="1:4" ht="15.75" customHeight="1" x14ac:dyDescent="0.5">
      <c r="A45" s="31">
        <v>158</v>
      </c>
      <c r="B45" s="32">
        <v>39.96</v>
      </c>
      <c r="C45" s="32">
        <v>111</v>
      </c>
      <c r="D45" s="33">
        <f t="shared" si="0"/>
        <v>39.96</v>
      </c>
    </row>
    <row r="46" spans="1:4" ht="15.75" customHeight="1" x14ac:dyDescent="0.5">
      <c r="A46" s="31">
        <v>33</v>
      </c>
      <c r="B46" s="32">
        <v>20.440000000000001</v>
      </c>
      <c r="C46" s="32">
        <v>112</v>
      </c>
      <c r="D46" s="33">
        <f t="shared" si="0"/>
        <v>20.440000000000001</v>
      </c>
    </row>
    <row r="47" spans="1:4" ht="15.75" customHeight="1" x14ac:dyDescent="0.5">
      <c r="A47" s="31">
        <v>52</v>
      </c>
      <c r="B47" s="32">
        <v>29.080000000000002</v>
      </c>
      <c r="C47" s="32">
        <v>112</v>
      </c>
      <c r="D47" s="33">
        <f t="shared" si="0"/>
        <v>29.080000000000002</v>
      </c>
    </row>
    <row r="48" spans="1:4" ht="15.75" customHeight="1" x14ac:dyDescent="0.5">
      <c r="A48" s="31">
        <v>14</v>
      </c>
      <c r="B48" s="32">
        <v>26.5</v>
      </c>
      <c r="C48" s="32">
        <v>113</v>
      </c>
      <c r="D48" s="33">
        <f t="shared" si="0"/>
        <v>26.5</v>
      </c>
    </row>
    <row r="49" spans="1:4" ht="15.75" customHeight="1" x14ac:dyDescent="0.5">
      <c r="A49" s="31">
        <v>141</v>
      </c>
      <c r="B49" s="32"/>
      <c r="C49" s="32">
        <v>113</v>
      </c>
      <c r="D49" s="33">
        <f>IF(ISBLANK(B49),AVERAGE(B46:B52),B49)</f>
        <v>20.910000000000004</v>
      </c>
    </row>
    <row r="50" spans="1:4" ht="15.75" customHeight="1" x14ac:dyDescent="0.5">
      <c r="A50" s="31">
        <v>39</v>
      </c>
      <c r="B50" s="32">
        <v>14.620000000000001</v>
      </c>
      <c r="C50" s="32">
        <v>114</v>
      </c>
      <c r="D50" s="33">
        <f t="shared" ref="D50:D113" si="1">IF(ISBLANK(B50),AVERAGE(B47:B53),B50)</f>
        <v>14.620000000000001</v>
      </c>
    </row>
    <row r="51" spans="1:4" ht="15.75" customHeight="1" x14ac:dyDescent="0.5">
      <c r="A51" s="31">
        <v>191</v>
      </c>
      <c r="B51" s="32">
        <v>15.9</v>
      </c>
      <c r="C51" s="32">
        <v>114</v>
      </c>
      <c r="D51" s="33">
        <f t="shared" si="1"/>
        <v>15.9</v>
      </c>
    </row>
    <row r="52" spans="1:4" ht="15.75" customHeight="1" x14ac:dyDescent="0.5">
      <c r="A52" s="31">
        <v>130</v>
      </c>
      <c r="B52" s="32">
        <v>18.920000000000002</v>
      </c>
      <c r="C52" s="32">
        <v>116</v>
      </c>
      <c r="D52" s="33">
        <f t="shared" si="1"/>
        <v>18.920000000000002</v>
      </c>
    </row>
    <row r="53" spans="1:4" ht="15.75" customHeight="1" x14ac:dyDescent="0.5">
      <c r="A53" s="31">
        <v>192</v>
      </c>
      <c r="B53" s="32">
        <v>21.1</v>
      </c>
      <c r="C53" s="32">
        <v>116</v>
      </c>
      <c r="D53" s="33">
        <f t="shared" si="1"/>
        <v>21.1</v>
      </c>
    </row>
    <row r="54" spans="1:4" ht="15.75" customHeight="1" x14ac:dyDescent="0.5">
      <c r="A54" s="31">
        <v>197</v>
      </c>
      <c r="B54" s="32">
        <v>27.84</v>
      </c>
      <c r="C54" s="32">
        <v>116</v>
      </c>
      <c r="D54" s="33">
        <f t="shared" si="1"/>
        <v>27.84</v>
      </c>
    </row>
    <row r="55" spans="1:4" ht="15.75" customHeight="1" x14ac:dyDescent="0.5">
      <c r="A55" s="31">
        <v>74</v>
      </c>
      <c r="B55" s="32">
        <v>28.880000000000003</v>
      </c>
      <c r="C55" s="32">
        <v>117</v>
      </c>
      <c r="D55" s="33">
        <f t="shared" si="1"/>
        <v>28.880000000000003</v>
      </c>
    </row>
    <row r="56" spans="1:4" ht="15.75" customHeight="1" x14ac:dyDescent="0.5">
      <c r="A56" s="31">
        <v>95</v>
      </c>
      <c r="B56" s="32">
        <v>30.48</v>
      </c>
      <c r="C56" s="32">
        <v>117</v>
      </c>
      <c r="D56" s="33">
        <f t="shared" si="1"/>
        <v>30.48</v>
      </c>
    </row>
    <row r="57" spans="1:4" ht="15.75" customHeight="1" x14ac:dyDescent="0.5">
      <c r="A57" s="31">
        <v>150</v>
      </c>
      <c r="B57" s="32">
        <v>164</v>
      </c>
      <c r="C57" s="32">
        <v>118</v>
      </c>
      <c r="D57" s="33">
        <f t="shared" si="1"/>
        <v>164</v>
      </c>
    </row>
    <row r="58" spans="1:4" ht="15.75" customHeight="1" x14ac:dyDescent="0.5">
      <c r="A58" s="31">
        <v>10</v>
      </c>
      <c r="B58" s="32">
        <v>40.96</v>
      </c>
      <c r="C58" s="32">
        <v>119</v>
      </c>
      <c r="D58" s="33">
        <f t="shared" si="1"/>
        <v>40.96</v>
      </c>
    </row>
    <row r="59" spans="1:4" ht="15.75" customHeight="1" x14ac:dyDescent="0.5">
      <c r="A59" s="31">
        <v>47</v>
      </c>
      <c r="B59" s="32">
        <v>18.940000000000001</v>
      </c>
      <c r="C59" s="32">
        <v>119</v>
      </c>
      <c r="D59" s="33">
        <f t="shared" si="1"/>
        <v>18.940000000000001</v>
      </c>
    </row>
    <row r="60" spans="1:4" ht="15.75" customHeight="1" x14ac:dyDescent="0.5">
      <c r="A60" s="31">
        <v>80</v>
      </c>
      <c r="B60" s="32">
        <v>31.2</v>
      </c>
      <c r="C60" s="32">
        <v>120</v>
      </c>
      <c r="D60" s="33">
        <f t="shared" si="1"/>
        <v>31.2</v>
      </c>
    </row>
    <row r="61" spans="1:4" ht="15.75" customHeight="1" x14ac:dyDescent="0.5">
      <c r="A61" s="31">
        <v>81</v>
      </c>
      <c r="B61" s="32">
        <v>19.28</v>
      </c>
      <c r="C61" s="32">
        <v>120</v>
      </c>
      <c r="D61" s="33">
        <f t="shared" si="1"/>
        <v>19.28</v>
      </c>
    </row>
    <row r="62" spans="1:4" ht="15.75" customHeight="1" x14ac:dyDescent="0.5">
      <c r="A62" s="31">
        <v>2</v>
      </c>
      <c r="B62" s="32">
        <v>10.9</v>
      </c>
      <c r="C62" s="32">
        <v>122</v>
      </c>
      <c r="D62" s="33">
        <f t="shared" si="1"/>
        <v>10.9</v>
      </c>
    </row>
    <row r="63" spans="1:4" ht="15.75" customHeight="1" x14ac:dyDescent="0.5">
      <c r="A63" s="31">
        <v>51</v>
      </c>
      <c r="B63" s="32">
        <v>43.96</v>
      </c>
      <c r="C63" s="32">
        <v>122</v>
      </c>
      <c r="D63" s="33">
        <f t="shared" si="1"/>
        <v>43.96</v>
      </c>
    </row>
    <row r="64" spans="1:4" ht="15.75" customHeight="1" x14ac:dyDescent="0.5">
      <c r="A64" s="31">
        <v>87</v>
      </c>
      <c r="B64" s="32">
        <v>21.259999999999998</v>
      </c>
      <c r="C64" s="32">
        <v>122</v>
      </c>
      <c r="D64" s="33">
        <f t="shared" si="1"/>
        <v>21.259999999999998</v>
      </c>
    </row>
    <row r="65" spans="1:4" ht="15.75" customHeight="1" x14ac:dyDescent="0.5">
      <c r="A65" s="31">
        <v>7</v>
      </c>
      <c r="B65" s="32">
        <v>13.5</v>
      </c>
      <c r="C65" s="32">
        <v>123</v>
      </c>
      <c r="D65" s="33">
        <f t="shared" si="1"/>
        <v>13.5</v>
      </c>
    </row>
    <row r="66" spans="1:4" ht="15.75" customHeight="1" x14ac:dyDescent="0.5">
      <c r="A66" s="31">
        <v>30</v>
      </c>
      <c r="B66" s="32">
        <v>15.12</v>
      </c>
      <c r="C66" s="32">
        <v>123</v>
      </c>
      <c r="D66" s="33">
        <f t="shared" si="1"/>
        <v>15.12</v>
      </c>
    </row>
    <row r="67" spans="1:4" ht="15.75" customHeight="1" x14ac:dyDescent="0.5">
      <c r="A67" s="31">
        <v>146</v>
      </c>
      <c r="B67" s="32">
        <v>31.060000000000002</v>
      </c>
      <c r="C67" s="32">
        <v>123</v>
      </c>
      <c r="D67" s="33">
        <f t="shared" si="1"/>
        <v>31.060000000000002</v>
      </c>
    </row>
    <row r="68" spans="1:4" ht="15.75" customHeight="1" x14ac:dyDescent="0.5">
      <c r="A68" s="31">
        <v>135</v>
      </c>
      <c r="B68" s="32">
        <v>14.379999999999999</v>
      </c>
      <c r="C68" s="32">
        <v>124</v>
      </c>
      <c r="D68" s="33">
        <f t="shared" si="1"/>
        <v>14.379999999999999</v>
      </c>
    </row>
    <row r="69" spans="1:4" ht="15.75" customHeight="1" x14ac:dyDescent="0.5">
      <c r="A69" s="31">
        <v>136</v>
      </c>
      <c r="B69" s="32">
        <v>14.66</v>
      </c>
      <c r="C69" s="32">
        <v>124</v>
      </c>
      <c r="D69" s="33">
        <f t="shared" si="1"/>
        <v>14.66</v>
      </c>
    </row>
    <row r="70" spans="1:4" ht="15.75" customHeight="1" x14ac:dyDescent="0.5">
      <c r="A70" s="31">
        <v>182</v>
      </c>
      <c r="B70" s="32">
        <v>52.7</v>
      </c>
      <c r="C70" s="32">
        <v>124</v>
      </c>
      <c r="D70" s="33">
        <f t="shared" si="1"/>
        <v>52.7</v>
      </c>
    </row>
    <row r="71" spans="1:4" ht="15.75" customHeight="1" x14ac:dyDescent="0.5">
      <c r="A71" s="31">
        <v>123</v>
      </c>
      <c r="B71" s="32">
        <v>45.8</v>
      </c>
      <c r="C71" s="32">
        <v>125</v>
      </c>
      <c r="D71" s="33">
        <f t="shared" si="1"/>
        <v>45.8</v>
      </c>
    </row>
    <row r="72" spans="1:4" ht="15.75" customHeight="1" x14ac:dyDescent="0.5">
      <c r="A72" s="31">
        <v>152</v>
      </c>
      <c r="B72" s="32">
        <v>31.2</v>
      </c>
      <c r="C72" s="32">
        <v>125</v>
      </c>
      <c r="D72" s="33">
        <f t="shared" si="1"/>
        <v>31.2</v>
      </c>
    </row>
    <row r="73" spans="1:4" ht="15.75" customHeight="1" x14ac:dyDescent="0.5">
      <c r="A73" s="31">
        <v>32</v>
      </c>
      <c r="B73" s="32">
        <v>92.987500000000011</v>
      </c>
      <c r="C73" s="32">
        <v>126</v>
      </c>
      <c r="D73" s="33">
        <f t="shared" si="1"/>
        <v>92.987500000000011</v>
      </c>
    </row>
    <row r="74" spans="1:4" ht="15.75" customHeight="1" x14ac:dyDescent="0.5">
      <c r="A74" s="31">
        <v>126</v>
      </c>
      <c r="B74" s="32">
        <v>18.440000000000001</v>
      </c>
      <c r="C74" s="32">
        <v>126</v>
      </c>
      <c r="D74" s="33">
        <f t="shared" si="1"/>
        <v>18.440000000000001</v>
      </c>
    </row>
    <row r="75" spans="1:4" ht="15.75" customHeight="1" x14ac:dyDescent="0.5">
      <c r="A75" s="31">
        <v>19</v>
      </c>
      <c r="B75" s="32">
        <v>14.84</v>
      </c>
      <c r="C75" s="32">
        <v>127</v>
      </c>
      <c r="D75" s="33">
        <f t="shared" si="1"/>
        <v>14.84</v>
      </c>
    </row>
    <row r="76" spans="1:4" ht="15.75" customHeight="1" x14ac:dyDescent="0.5">
      <c r="A76" s="31">
        <v>22</v>
      </c>
      <c r="B76" s="32">
        <v>48.480000000000004</v>
      </c>
      <c r="C76" s="32">
        <v>127</v>
      </c>
      <c r="D76" s="33">
        <f t="shared" si="1"/>
        <v>48.480000000000004</v>
      </c>
    </row>
    <row r="77" spans="1:4" ht="15.75" customHeight="1" x14ac:dyDescent="0.5">
      <c r="A77" s="31">
        <v>145</v>
      </c>
      <c r="B77" s="32">
        <v>29.240000000000002</v>
      </c>
      <c r="C77" s="32">
        <v>127</v>
      </c>
      <c r="D77" s="33">
        <f t="shared" si="1"/>
        <v>29.240000000000002</v>
      </c>
    </row>
    <row r="78" spans="1:4" ht="15.75" customHeight="1" x14ac:dyDescent="0.5">
      <c r="A78" s="31">
        <v>175</v>
      </c>
      <c r="B78" s="32">
        <v>53.480000000000004</v>
      </c>
      <c r="C78" s="32">
        <v>127</v>
      </c>
      <c r="D78" s="33">
        <f t="shared" si="1"/>
        <v>53.480000000000004</v>
      </c>
    </row>
    <row r="79" spans="1:4" ht="15.75" customHeight="1" x14ac:dyDescent="0.5">
      <c r="A79" s="31">
        <v>82</v>
      </c>
      <c r="B79" s="32">
        <v>151.96</v>
      </c>
      <c r="C79" s="32">
        <v>128</v>
      </c>
      <c r="D79" s="33">
        <f t="shared" si="1"/>
        <v>151.96</v>
      </c>
    </row>
    <row r="80" spans="1:4" ht="15.75" customHeight="1" x14ac:dyDescent="0.5">
      <c r="A80" s="31">
        <v>83</v>
      </c>
      <c r="B80" s="32">
        <v>18.059999999999999</v>
      </c>
      <c r="C80" s="32">
        <v>128</v>
      </c>
      <c r="D80" s="33">
        <f t="shared" si="1"/>
        <v>18.059999999999999</v>
      </c>
    </row>
    <row r="81" spans="1:4" ht="15.75" customHeight="1" x14ac:dyDescent="0.5">
      <c r="A81" s="31">
        <v>36</v>
      </c>
      <c r="B81" s="32">
        <v>62.14</v>
      </c>
      <c r="C81" s="32">
        <v>129</v>
      </c>
      <c r="D81" s="33">
        <f t="shared" si="1"/>
        <v>62.14</v>
      </c>
    </row>
    <row r="82" spans="1:4" ht="15.75" customHeight="1" x14ac:dyDescent="0.5">
      <c r="A82" s="31">
        <v>72</v>
      </c>
      <c r="B82" s="32">
        <v>29.96</v>
      </c>
      <c r="C82" s="32">
        <v>129</v>
      </c>
      <c r="D82" s="33">
        <f t="shared" si="1"/>
        <v>29.96</v>
      </c>
    </row>
    <row r="83" spans="1:4" ht="15.75" customHeight="1" x14ac:dyDescent="0.5">
      <c r="A83" s="31">
        <v>117</v>
      </c>
      <c r="B83" s="32">
        <v>37.839999999999996</v>
      </c>
      <c r="C83" s="32">
        <v>129</v>
      </c>
      <c r="D83" s="33">
        <f t="shared" si="1"/>
        <v>37.839999999999996</v>
      </c>
    </row>
    <row r="84" spans="1:4" ht="15.75" customHeight="1" x14ac:dyDescent="0.5">
      <c r="A84" s="31">
        <v>168</v>
      </c>
      <c r="B84" s="32">
        <v>48.36</v>
      </c>
      <c r="C84" s="32">
        <v>129</v>
      </c>
      <c r="D84" s="33">
        <f t="shared" si="1"/>
        <v>48.36</v>
      </c>
    </row>
    <row r="85" spans="1:4" ht="15.75" customHeight="1" x14ac:dyDescent="0.5">
      <c r="A85" s="31">
        <v>174</v>
      </c>
      <c r="B85" s="32">
        <v>36.68</v>
      </c>
      <c r="C85" s="32">
        <v>129</v>
      </c>
      <c r="D85" s="33">
        <f t="shared" si="1"/>
        <v>36.68</v>
      </c>
    </row>
    <row r="86" spans="1:4" ht="15.75" customHeight="1" x14ac:dyDescent="0.5">
      <c r="A86" s="31">
        <v>166</v>
      </c>
      <c r="B86" s="32">
        <v>56.9</v>
      </c>
      <c r="C86" s="32">
        <v>131</v>
      </c>
      <c r="D86" s="33">
        <f t="shared" si="1"/>
        <v>56.9</v>
      </c>
    </row>
    <row r="87" spans="1:4" ht="15.75" customHeight="1" x14ac:dyDescent="0.5">
      <c r="A87" s="31">
        <v>178</v>
      </c>
      <c r="B87" s="32">
        <v>40.04</v>
      </c>
      <c r="C87" s="32">
        <v>131</v>
      </c>
      <c r="D87" s="33">
        <f t="shared" si="1"/>
        <v>40.04</v>
      </c>
    </row>
    <row r="88" spans="1:4" ht="15.75" customHeight="1" x14ac:dyDescent="0.5">
      <c r="A88" s="31">
        <v>179</v>
      </c>
      <c r="B88" s="32">
        <v>63.339999999999996</v>
      </c>
      <c r="C88" s="32">
        <v>131</v>
      </c>
      <c r="D88" s="33">
        <f t="shared" si="1"/>
        <v>63.339999999999996</v>
      </c>
    </row>
    <row r="89" spans="1:4" ht="15.75" customHeight="1" x14ac:dyDescent="0.5">
      <c r="A89" s="31">
        <v>97</v>
      </c>
      <c r="B89" s="32">
        <v>46.519999999999996</v>
      </c>
      <c r="C89" s="32">
        <v>132</v>
      </c>
      <c r="D89" s="33">
        <f t="shared" si="1"/>
        <v>46.519999999999996</v>
      </c>
    </row>
    <row r="90" spans="1:4" ht="15.75" customHeight="1" x14ac:dyDescent="0.5">
      <c r="A90" s="31">
        <v>165</v>
      </c>
      <c r="B90" s="32">
        <v>28.44</v>
      </c>
      <c r="C90" s="32">
        <v>132</v>
      </c>
      <c r="D90" s="33">
        <f t="shared" si="1"/>
        <v>28.44</v>
      </c>
    </row>
    <row r="91" spans="1:4" ht="15.75" customHeight="1" x14ac:dyDescent="0.5">
      <c r="A91" s="31">
        <v>58</v>
      </c>
      <c r="B91" s="32">
        <v>33.239999999999995</v>
      </c>
      <c r="C91" s="32">
        <v>133</v>
      </c>
      <c r="D91" s="33">
        <f t="shared" si="1"/>
        <v>33.239999999999995</v>
      </c>
    </row>
    <row r="92" spans="1:4" ht="15.75" customHeight="1" x14ac:dyDescent="0.5">
      <c r="A92" s="31">
        <v>116</v>
      </c>
      <c r="B92" s="32">
        <v>24.02</v>
      </c>
      <c r="C92" s="32">
        <v>133</v>
      </c>
      <c r="D92" s="33">
        <f t="shared" si="1"/>
        <v>24.02</v>
      </c>
    </row>
    <row r="93" spans="1:4" ht="15.75" customHeight="1" x14ac:dyDescent="0.5">
      <c r="A93" s="31">
        <v>17</v>
      </c>
      <c r="B93" s="32">
        <v>89.06</v>
      </c>
      <c r="C93" s="32">
        <v>135</v>
      </c>
      <c r="D93" s="33">
        <f t="shared" si="1"/>
        <v>89.06</v>
      </c>
    </row>
    <row r="94" spans="1:4" ht="15.75" customHeight="1" x14ac:dyDescent="0.5">
      <c r="A94" s="31">
        <v>68</v>
      </c>
      <c r="B94" s="32">
        <v>30.860000000000003</v>
      </c>
      <c r="C94" s="32">
        <v>135</v>
      </c>
      <c r="D94" s="33">
        <f t="shared" si="1"/>
        <v>30.860000000000003</v>
      </c>
    </row>
    <row r="95" spans="1:4" ht="15.75" customHeight="1" x14ac:dyDescent="0.5">
      <c r="A95" s="31">
        <v>180</v>
      </c>
      <c r="B95" s="32">
        <v>41.12</v>
      </c>
      <c r="C95" s="32">
        <v>135</v>
      </c>
      <c r="D95" s="33">
        <f t="shared" si="1"/>
        <v>41.12</v>
      </c>
    </row>
    <row r="96" spans="1:4" ht="15.75" customHeight="1" x14ac:dyDescent="0.5">
      <c r="A96" s="31">
        <v>5</v>
      </c>
      <c r="B96" s="32">
        <v>46.160000000000004</v>
      </c>
      <c r="C96" s="32">
        <v>137</v>
      </c>
      <c r="D96" s="33">
        <f t="shared" si="1"/>
        <v>46.160000000000004</v>
      </c>
    </row>
    <row r="97" spans="1:4" ht="15.75" customHeight="1" x14ac:dyDescent="0.5">
      <c r="A97" s="31">
        <v>101</v>
      </c>
      <c r="B97" s="32">
        <v>51.480000000000004</v>
      </c>
      <c r="C97" s="32">
        <v>137</v>
      </c>
      <c r="D97" s="33">
        <f t="shared" si="1"/>
        <v>51.480000000000004</v>
      </c>
    </row>
    <row r="98" spans="1:4" ht="15.75" customHeight="1" x14ac:dyDescent="0.5">
      <c r="A98" s="31">
        <v>160</v>
      </c>
      <c r="B98" s="32">
        <v>32.339999999999996</v>
      </c>
      <c r="C98" s="32">
        <v>138</v>
      </c>
      <c r="D98" s="33">
        <f t="shared" si="1"/>
        <v>32.339999999999996</v>
      </c>
    </row>
    <row r="99" spans="1:4" ht="15.75" customHeight="1" x14ac:dyDescent="0.5">
      <c r="A99" s="31">
        <v>26</v>
      </c>
      <c r="B99" s="32">
        <v>59.58</v>
      </c>
      <c r="C99" s="32">
        <v>139</v>
      </c>
      <c r="D99" s="33">
        <f t="shared" si="1"/>
        <v>59.58</v>
      </c>
    </row>
    <row r="100" spans="1:4" ht="15.75" customHeight="1" x14ac:dyDescent="0.5">
      <c r="A100" s="31">
        <v>198</v>
      </c>
      <c r="B100" s="32">
        <v>44.4</v>
      </c>
      <c r="C100" s="32">
        <v>139</v>
      </c>
      <c r="D100" s="33">
        <f t="shared" si="1"/>
        <v>44.4</v>
      </c>
    </row>
    <row r="101" spans="1:4" ht="15.75" customHeight="1" x14ac:dyDescent="0.5">
      <c r="A101" s="31">
        <v>200</v>
      </c>
      <c r="B101" s="32">
        <v>52.42</v>
      </c>
      <c r="C101" s="32">
        <v>139</v>
      </c>
      <c r="D101" s="33">
        <f t="shared" si="1"/>
        <v>52.42</v>
      </c>
    </row>
    <row r="102" spans="1:4" ht="15.75" customHeight="1" x14ac:dyDescent="0.5">
      <c r="A102" s="31">
        <v>147</v>
      </c>
      <c r="B102" s="32">
        <v>55.019999999999996</v>
      </c>
      <c r="C102" s="32">
        <v>142</v>
      </c>
      <c r="D102" s="33">
        <f t="shared" si="1"/>
        <v>55.019999999999996</v>
      </c>
    </row>
    <row r="103" spans="1:4" ht="15.75" customHeight="1" x14ac:dyDescent="0.5">
      <c r="A103" s="31">
        <v>89</v>
      </c>
      <c r="B103" s="32">
        <v>27.66</v>
      </c>
      <c r="C103" s="32">
        <v>147</v>
      </c>
      <c r="D103" s="33">
        <f t="shared" si="1"/>
        <v>27.66</v>
      </c>
    </row>
    <row r="104" spans="1:4" ht="15.75" customHeight="1" x14ac:dyDescent="0.5">
      <c r="A104" s="31">
        <v>132</v>
      </c>
      <c r="B104" s="32">
        <v>55.04</v>
      </c>
      <c r="C104" s="32">
        <v>147</v>
      </c>
      <c r="D104" s="33">
        <f t="shared" si="1"/>
        <v>55.04</v>
      </c>
    </row>
    <row r="105" spans="1:4" ht="15.75" customHeight="1" x14ac:dyDescent="0.5">
      <c r="A105" s="31">
        <v>20</v>
      </c>
      <c r="B105" s="32">
        <v>32.46</v>
      </c>
      <c r="C105" s="32">
        <v>148</v>
      </c>
      <c r="D105" s="33">
        <f t="shared" si="1"/>
        <v>32.46</v>
      </c>
    </row>
    <row r="106" spans="1:4" ht="15.75" customHeight="1" x14ac:dyDescent="0.5">
      <c r="A106" s="31">
        <v>44</v>
      </c>
      <c r="B106" s="32">
        <v>51.38</v>
      </c>
      <c r="C106" s="32">
        <v>149</v>
      </c>
      <c r="D106" s="33">
        <f t="shared" si="1"/>
        <v>51.38</v>
      </c>
    </row>
    <row r="107" spans="1:4" ht="15.75" customHeight="1" x14ac:dyDescent="0.5">
      <c r="A107" s="31">
        <v>49</v>
      </c>
      <c r="B107" s="32">
        <v>46.44</v>
      </c>
      <c r="C107" s="32">
        <v>149</v>
      </c>
      <c r="D107" s="33">
        <f t="shared" si="1"/>
        <v>46.44</v>
      </c>
    </row>
    <row r="108" spans="1:4" ht="15.75" customHeight="1" x14ac:dyDescent="0.5">
      <c r="A108" s="31">
        <v>78</v>
      </c>
      <c r="B108" s="32">
        <v>25.1</v>
      </c>
      <c r="C108" s="32">
        <v>149</v>
      </c>
      <c r="D108" s="33">
        <f t="shared" si="1"/>
        <v>25.1</v>
      </c>
    </row>
    <row r="109" spans="1:4" ht="15.75" customHeight="1" x14ac:dyDescent="0.5">
      <c r="A109" s="31">
        <v>84</v>
      </c>
      <c r="B109" s="32">
        <v>22.68</v>
      </c>
      <c r="C109" s="32">
        <v>149</v>
      </c>
      <c r="D109" s="33">
        <f t="shared" si="1"/>
        <v>22.68</v>
      </c>
    </row>
    <row r="110" spans="1:4" ht="15.75" customHeight="1" x14ac:dyDescent="0.5">
      <c r="A110" s="31">
        <v>111</v>
      </c>
      <c r="B110" s="32">
        <v>54.160000000000004</v>
      </c>
      <c r="C110" s="32">
        <v>150</v>
      </c>
      <c r="D110" s="33">
        <f t="shared" si="1"/>
        <v>54.160000000000004</v>
      </c>
    </row>
    <row r="111" spans="1:4" ht="15.75" customHeight="1" x14ac:dyDescent="0.5">
      <c r="A111" s="31">
        <v>162</v>
      </c>
      <c r="B111" s="32">
        <v>19.14</v>
      </c>
      <c r="C111" s="32">
        <v>151</v>
      </c>
      <c r="D111" s="33">
        <f t="shared" si="1"/>
        <v>19.14</v>
      </c>
    </row>
    <row r="112" spans="1:4" ht="15.75" customHeight="1" x14ac:dyDescent="0.5">
      <c r="A112" s="31">
        <v>12</v>
      </c>
      <c r="B112" s="32">
        <v>50.94</v>
      </c>
      <c r="C112" s="32">
        <v>151.5</v>
      </c>
      <c r="D112" s="33">
        <f t="shared" si="1"/>
        <v>50.94</v>
      </c>
    </row>
    <row r="113" spans="1:4" ht="15.75" customHeight="1" x14ac:dyDescent="0.5">
      <c r="A113" s="31">
        <v>8</v>
      </c>
      <c r="B113" s="32">
        <v>31.04</v>
      </c>
      <c r="C113" s="32">
        <v>152</v>
      </c>
      <c r="D113" s="33">
        <f t="shared" si="1"/>
        <v>31.04</v>
      </c>
    </row>
    <row r="114" spans="1:4" ht="15.75" customHeight="1" x14ac:dyDescent="0.5">
      <c r="A114" s="31">
        <v>38</v>
      </c>
      <c r="B114" s="32">
        <v>24.94</v>
      </c>
      <c r="C114" s="32">
        <v>152</v>
      </c>
      <c r="D114" s="33">
        <f t="shared" ref="D114:D177" si="2">IF(ISBLANK(B114),AVERAGE(B111:B117),B114)</f>
        <v>24.94</v>
      </c>
    </row>
    <row r="115" spans="1:4" ht="15.75" customHeight="1" x14ac:dyDescent="0.5">
      <c r="A115" s="31">
        <v>115</v>
      </c>
      <c r="B115" s="32">
        <v>18.64</v>
      </c>
      <c r="C115" s="32">
        <v>152</v>
      </c>
      <c r="D115" s="33">
        <f t="shared" si="2"/>
        <v>18.64</v>
      </c>
    </row>
    <row r="116" spans="1:4" ht="15.75" customHeight="1" x14ac:dyDescent="0.5">
      <c r="A116" s="31">
        <v>103</v>
      </c>
      <c r="B116" s="32">
        <v>64.039999999999992</v>
      </c>
      <c r="C116" s="32">
        <v>158</v>
      </c>
      <c r="D116" s="33">
        <f t="shared" si="2"/>
        <v>64.039999999999992</v>
      </c>
    </row>
    <row r="117" spans="1:4" ht="15.75" customHeight="1" x14ac:dyDescent="0.5">
      <c r="A117" s="31">
        <v>86</v>
      </c>
      <c r="B117" s="32">
        <v>42.64</v>
      </c>
      <c r="C117" s="32">
        <v>159</v>
      </c>
      <c r="D117" s="33">
        <f t="shared" si="2"/>
        <v>42.64</v>
      </c>
    </row>
    <row r="118" spans="1:4" ht="15.75" customHeight="1" x14ac:dyDescent="0.5">
      <c r="A118" s="31">
        <v>113</v>
      </c>
      <c r="B118" s="32">
        <v>39.14</v>
      </c>
      <c r="C118" s="32">
        <v>159</v>
      </c>
      <c r="D118" s="33">
        <f t="shared" si="2"/>
        <v>39.14</v>
      </c>
    </row>
    <row r="119" spans="1:4" ht="15.75" customHeight="1" x14ac:dyDescent="0.5">
      <c r="A119" s="31">
        <v>161</v>
      </c>
      <c r="B119" s="32">
        <v>44.5</v>
      </c>
      <c r="C119" s="32">
        <v>159</v>
      </c>
      <c r="D119" s="33">
        <f t="shared" si="2"/>
        <v>44.5</v>
      </c>
    </row>
    <row r="120" spans="1:4" ht="15.75" customHeight="1" x14ac:dyDescent="0.5">
      <c r="A120" s="31">
        <v>170</v>
      </c>
      <c r="B120" s="32">
        <v>60.86</v>
      </c>
      <c r="C120" s="32">
        <v>162</v>
      </c>
      <c r="D120" s="33">
        <f t="shared" si="2"/>
        <v>60.86</v>
      </c>
    </row>
    <row r="121" spans="1:4" ht="15.75" customHeight="1" x14ac:dyDescent="0.5">
      <c r="A121" s="31">
        <v>104</v>
      </c>
      <c r="B121" s="32">
        <v>38.58</v>
      </c>
      <c r="C121" s="32">
        <v>163</v>
      </c>
      <c r="D121" s="33">
        <f t="shared" si="2"/>
        <v>38.58</v>
      </c>
    </row>
    <row r="122" spans="1:4" ht="15.75" customHeight="1" x14ac:dyDescent="0.5">
      <c r="A122" s="31">
        <v>121</v>
      </c>
      <c r="B122" s="32">
        <v>36.260000000000005</v>
      </c>
      <c r="C122" s="32">
        <v>163</v>
      </c>
      <c r="D122" s="33">
        <f t="shared" si="2"/>
        <v>36.260000000000005</v>
      </c>
    </row>
    <row r="123" spans="1:4" ht="15.75" customHeight="1" x14ac:dyDescent="0.5">
      <c r="A123" s="31">
        <v>172</v>
      </c>
      <c r="B123" s="32">
        <v>42.9</v>
      </c>
      <c r="C123" s="32">
        <v>163</v>
      </c>
      <c r="D123" s="33">
        <f t="shared" si="2"/>
        <v>42.9</v>
      </c>
    </row>
    <row r="124" spans="1:4" ht="15.75" customHeight="1" x14ac:dyDescent="0.5">
      <c r="A124" s="31">
        <v>46</v>
      </c>
      <c r="B124" s="32">
        <v>42.019999999999996</v>
      </c>
      <c r="C124" s="32">
        <v>165</v>
      </c>
      <c r="D124" s="33">
        <f t="shared" si="2"/>
        <v>42.019999999999996</v>
      </c>
    </row>
    <row r="125" spans="1:4" ht="15.75" customHeight="1" x14ac:dyDescent="0.5">
      <c r="A125" s="31">
        <v>151</v>
      </c>
      <c r="B125" s="32">
        <v>66.14</v>
      </c>
      <c r="C125" s="32">
        <v>166</v>
      </c>
      <c r="D125" s="33">
        <f t="shared" si="2"/>
        <v>66.14</v>
      </c>
    </row>
    <row r="126" spans="1:4" ht="15.75" customHeight="1" x14ac:dyDescent="0.5">
      <c r="A126" s="31">
        <v>155</v>
      </c>
      <c r="B126" s="32">
        <v>43.56</v>
      </c>
      <c r="C126" s="32">
        <v>166</v>
      </c>
      <c r="D126" s="33">
        <f t="shared" si="2"/>
        <v>43.56</v>
      </c>
    </row>
    <row r="127" spans="1:4" ht="15.75" customHeight="1" x14ac:dyDescent="0.5">
      <c r="A127" s="31">
        <v>27</v>
      </c>
      <c r="B127" s="32">
        <v>38.58</v>
      </c>
      <c r="C127" s="32">
        <v>167</v>
      </c>
      <c r="D127" s="33">
        <f t="shared" si="2"/>
        <v>38.58</v>
      </c>
    </row>
    <row r="128" spans="1:4" ht="15.75" customHeight="1" x14ac:dyDescent="0.5">
      <c r="A128" s="31">
        <v>114</v>
      </c>
      <c r="B128" s="32">
        <v>44.92</v>
      </c>
      <c r="C128" s="32">
        <v>167</v>
      </c>
      <c r="D128" s="33">
        <f t="shared" si="2"/>
        <v>44.92</v>
      </c>
    </row>
    <row r="129" spans="1:4" ht="15.75" customHeight="1" x14ac:dyDescent="0.5">
      <c r="A129" s="31">
        <v>189</v>
      </c>
      <c r="B129" s="32">
        <v>59.2</v>
      </c>
      <c r="C129" s="32">
        <v>167</v>
      </c>
      <c r="D129" s="33">
        <f t="shared" si="2"/>
        <v>59.2</v>
      </c>
    </row>
    <row r="130" spans="1:4" ht="15.75" customHeight="1" x14ac:dyDescent="0.5">
      <c r="A130" s="31">
        <v>28</v>
      </c>
      <c r="B130" s="32">
        <v>49.019999999999996</v>
      </c>
      <c r="C130" s="32">
        <v>168</v>
      </c>
      <c r="D130" s="33">
        <f t="shared" si="2"/>
        <v>49.019999999999996</v>
      </c>
    </row>
    <row r="131" spans="1:4" ht="15.75" customHeight="1" x14ac:dyDescent="0.5">
      <c r="A131" s="31">
        <v>98</v>
      </c>
      <c r="B131" s="32">
        <v>41.980000000000004</v>
      </c>
      <c r="C131" s="32">
        <v>168</v>
      </c>
      <c r="D131" s="33">
        <f t="shared" si="2"/>
        <v>41.980000000000004</v>
      </c>
    </row>
    <row r="132" spans="1:4" ht="15.75" customHeight="1" x14ac:dyDescent="0.5">
      <c r="A132" s="31">
        <v>163</v>
      </c>
      <c r="B132" s="32">
        <v>42.68</v>
      </c>
      <c r="C132" s="32">
        <v>168</v>
      </c>
      <c r="D132" s="33">
        <f t="shared" si="2"/>
        <v>42.68</v>
      </c>
    </row>
    <row r="133" spans="1:4" ht="15.75" customHeight="1" x14ac:dyDescent="0.5">
      <c r="A133" s="31">
        <v>153</v>
      </c>
      <c r="B133" s="32">
        <v>40.519999999999996</v>
      </c>
      <c r="C133" s="32">
        <v>169</v>
      </c>
      <c r="D133" s="33">
        <f t="shared" si="2"/>
        <v>40.519999999999996</v>
      </c>
    </row>
    <row r="134" spans="1:4" ht="15.75" customHeight="1" x14ac:dyDescent="0.5">
      <c r="A134" s="31">
        <v>63</v>
      </c>
      <c r="B134" s="32">
        <v>53.86</v>
      </c>
      <c r="C134" s="32">
        <v>170</v>
      </c>
      <c r="D134" s="33">
        <f t="shared" si="2"/>
        <v>53.86</v>
      </c>
    </row>
    <row r="135" spans="1:4" ht="15.75" customHeight="1" x14ac:dyDescent="0.5">
      <c r="A135" s="31">
        <v>124</v>
      </c>
      <c r="B135" s="32">
        <v>33.619999999999997</v>
      </c>
      <c r="C135" s="32">
        <v>171</v>
      </c>
      <c r="D135" s="33">
        <f t="shared" si="2"/>
        <v>33.619999999999997</v>
      </c>
    </row>
    <row r="136" spans="1:4" ht="15.75" customHeight="1" x14ac:dyDescent="0.5">
      <c r="A136" s="31">
        <v>119</v>
      </c>
      <c r="B136" s="32">
        <v>29.14</v>
      </c>
      <c r="C136" s="32">
        <v>172</v>
      </c>
      <c r="D136" s="33">
        <f t="shared" si="2"/>
        <v>29.14</v>
      </c>
    </row>
    <row r="137" spans="1:4" ht="15.75" customHeight="1" x14ac:dyDescent="0.5">
      <c r="A137" s="31">
        <v>157</v>
      </c>
      <c r="B137" s="32">
        <v>25.78</v>
      </c>
      <c r="C137" s="32">
        <v>173</v>
      </c>
      <c r="D137" s="33">
        <f t="shared" si="2"/>
        <v>25.78</v>
      </c>
    </row>
    <row r="138" spans="1:4" ht="15.75" customHeight="1" x14ac:dyDescent="0.5">
      <c r="A138" s="31">
        <v>24</v>
      </c>
      <c r="B138" s="32">
        <v>49.660000000000004</v>
      </c>
      <c r="C138" s="32">
        <v>175</v>
      </c>
      <c r="D138" s="33">
        <f t="shared" si="2"/>
        <v>49.660000000000004</v>
      </c>
    </row>
    <row r="139" spans="1:4" ht="15.75" customHeight="1" x14ac:dyDescent="0.5">
      <c r="A139" s="31">
        <v>96</v>
      </c>
      <c r="B139" s="32">
        <v>40.660000000000004</v>
      </c>
      <c r="C139" s="32">
        <v>175</v>
      </c>
      <c r="D139" s="33">
        <f t="shared" si="2"/>
        <v>40.660000000000004</v>
      </c>
    </row>
    <row r="140" spans="1:4" ht="15.75" customHeight="1" x14ac:dyDescent="0.5">
      <c r="A140" s="31">
        <v>90</v>
      </c>
      <c r="B140" s="32">
        <v>23.96</v>
      </c>
      <c r="C140" s="32">
        <v>177</v>
      </c>
      <c r="D140" s="33">
        <f t="shared" si="2"/>
        <v>23.96</v>
      </c>
    </row>
    <row r="141" spans="1:4" ht="15.75" customHeight="1" x14ac:dyDescent="0.5">
      <c r="A141" s="31">
        <v>41</v>
      </c>
      <c r="B141" s="32">
        <v>45.5</v>
      </c>
      <c r="C141" s="32">
        <v>179</v>
      </c>
      <c r="D141" s="33">
        <f t="shared" si="2"/>
        <v>45.5</v>
      </c>
    </row>
    <row r="142" spans="1:4" ht="15.75" customHeight="1" x14ac:dyDescent="0.5">
      <c r="A142" s="31">
        <v>88</v>
      </c>
      <c r="B142" s="32">
        <v>28.14</v>
      </c>
      <c r="C142" s="32">
        <v>180</v>
      </c>
      <c r="D142" s="33">
        <f t="shared" si="2"/>
        <v>28.14</v>
      </c>
    </row>
    <row r="143" spans="1:4" ht="15.75" customHeight="1" x14ac:dyDescent="0.5">
      <c r="A143" s="31">
        <v>100</v>
      </c>
      <c r="B143" s="32">
        <v>28.04</v>
      </c>
      <c r="C143" s="32">
        <v>183</v>
      </c>
      <c r="D143" s="33">
        <f t="shared" si="2"/>
        <v>28.04</v>
      </c>
    </row>
    <row r="144" spans="1:4" ht="15.75" customHeight="1" x14ac:dyDescent="0.5">
      <c r="A144" s="31">
        <v>34</v>
      </c>
      <c r="B144" s="32">
        <v>61.120000000000005</v>
      </c>
      <c r="C144" s="32">
        <v>184</v>
      </c>
      <c r="D144" s="33">
        <f t="shared" si="2"/>
        <v>61.120000000000005</v>
      </c>
    </row>
    <row r="145" spans="1:4" ht="15.75" customHeight="1" x14ac:dyDescent="0.5">
      <c r="A145" s="31">
        <v>195</v>
      </c>
      <c r="B145" s="32">
        <v>32.94</v>
      </c>
      <c r="C145" s="32">
        <v>184</v>
      </c>
      <c r="D145" s="33">
        <f t="shared" si="2"/>
        <v>32.94</v>
      </c>
    </row>
    <row r="146" spans="1:4" ht="15.75" customHeight="1" x14ac:dyDescent="0.5">
      <c r="A146" s="31">
        <v>169</v>
      </c>
      <c r="B146" s="32">
        <v>45.08</v>
      </c>
      <c r="C146" s="32">
        <v>185</v>
      </c>
      <c r="D146" s="33">
        <f t="shared" si="2"/>
        <v>45.08</v>
      </c>
    </row>
    <row r="147" spans="1:4" ht="15.75" customHeight="1" x14ac:dyDescent="0.5">
      <c r="A147" s="31">
        <v>42</v>
      </c>
      <c r="B147" s="32">
        <v>40.4</v>
      </c>
      <c r="C147" s="32">
        <v>186</v>
      </c>
      <c r="D147" s="33">
        <f t="shared" si="2"/>
        <v>40.4</v>
      </c>
    </row>
    <row r="148" spans="1:4" ht="15.75" customHeight="1" x14ac:dyDescent="0.5">
      <c r="A148" s="31">
        <v>60</v>
      </c>
      <c r="B148" s="32">
        <v>50.14</v>
      </c>
      <c r="C148" s="32">
        <v>186</v>
      </c>
      <c r="D148" s="33">
        <f t="shared" si="2"/>
        <v>50.14</v>
      </c>
    </row>
    <row r="149" spans="1:4" ht="15.75" customHeight="1" x14ac:dyDescent="0.5">
      <c r="A149" s="31">
        <v>188</v>
      </c>
      <c r="B149" s="32">
        <v>41.22</v>
      </c>
      <c r="C149" s="32">
        <v>186</v>
      </c>
      <c r="D149" s="33">
        <f t="shared" si="2"/>
        <v>41.22</v>
      </c>
    </row>
    <row r="150" spans="1:4" ht="15.75" customHeight="1" x14ac:dyDescent="0.5">
      <c r="A150" s="31">
        <v>65</v>
      </c>
      <c r="B150" s="32">
        <v>27.22</v>
      </c>
      <c r="C150" s="32">
        <v>187</v>
      </c>
      <c r="D150" s="33">
        <f t="shared" si="2"/>
        <v>27.22</v>
      </c>
    </row>
    <row r="151" spans="1:4" ht="15.75" customHeight="1" x14ac:dyDescent="0.5">
      <c r="A151" s="31">
        <v>75</v>
      </c>
      <c r="B151" s="32">
        <v>50.68</v>
      </c>
      <c r="C151" s="32">
        <v>187</v>
      </c>
      <c r="D151" s="33">
        <f t="shared" si="2"/>
        <v>50.68</v>
      </c>
    </row>
    <row r="152" spans="1:4" ht="15.75" customHeight="1" x14ac:dyDescent="0.5">
      <c r="A152" s="31">
        <v>21</v>
      </c>
      <c r="B152" s="32">
        <v>46.68</v>
      </c>
      <c r="C152" s="32">
        <v>188</v>
      </c>
      <c r="D152" s="33">
        <f t="shared" si="2"/>
        <v>46.68</v>
      </c>
    </row>
    <row r="153" spans="1:4" ht="15.75" customHeight="1" x14ac:dyDescent="0.5">
      <c r="A153" s="31">
        <v>185</v>
      </c>
      <c r="B153" s="32">
        <v>58.760000000000005</v>
      </c>
      <c r="C153" s="32">
        <v>188</v>
      </c>
      <c r="D153" s="33">
        <f t="shared" si="2"/>
        <v>58.760000000000005</v>
      </c>
    </row>
    <row r="154" spans="1:4" ht="15.75" customHeight="1" x14ac:dyDescent="0.5">
      <c r="A154" s="31">
        <v>15</v>
      </c>
      <c r="B154" s="32">
        <v>44.82</v>
      </c>
      <c r="C154" s="32">
        <v>191</v>
      </c>
      <c r="D154" s="33">
        <f t="shared" si="2"/>
        <v>44.82</v>
      </c>
    </row>
    <row r="155" spans="1:4" ht="15.75" customHeight="1" x14ac:dyDescent="0.5">
      <c r="A155" s="31">
        <v>164</v>
      </c>
      <c r="B155" s="32">
        <v>33.700000000000003</v>
      </c>
      <c r="C155" s="32">
        <v>193</v>
      </c>
      <c r="D155" s="33">
        <f t="shared" si="2"/>
        <v>33.700000000000003</v>
      </c>
    </row>
    <row r="156" spans="1:4" ht="15.75" customHeight="1" x14ac:dyDescent="0.5">
      <c r="A156" s="31">
        <v>69</v>
      </c>
      <c r="B156" s="32">
        <v>51.480000000000004</v>
      </c>
      <c r="C156" s="32">
        <v>196</v>
      </c>
      <c r="D156" s="33">
        <f t="shared" si="2"/>
        <v>51.480000000000004</v>
      </c>
    </row>
    <row r="157" spans="1:4" ht="15.75" customHeight="1" x14ac:dyDescent="0.5">
      <c r="A157" s="31">
        <v>71</v>
      </c>
      <c r="B157" s="32">
        <v>44.82</v>
      </c>
      <c r="C157" s="32">
        <v>196</v>
      </c>
      <c r="D157" s="33">
        <f t="shared" si="2"/>
        <v>44.82</v>
      </c>
    </row>
    <row r="158" spans="1:4" ht="15.75" customHeight="1" x14ac:dyDescent="0.5">
      <c r="A158" s="31">
        <v>106</v>
      </c>
      <c r="B158" s="32">
        <v>37.58</v>
      </c>
      <c r="C158" s="32">
        <v>196</v>
      </c>
      <c r="D158" s="33">
        <f t="shared" si="2"/>
        <v>37.58</v>
      </c>
    </row>
    <row r="159" spans="1:4" ht="15.75" customHeight="1" x14ac:dyDescent="0.5">
      <c r="A159" s="31">
        <v>4</v>
      </c>
      <c r="B159" s="32">
        <v>31.3</v>
      </c>
      <c r="C159" s="32">
        <v>197</v>
      </c>
      <c r="D159" s="33">
        <f t="shared" si="2"/>
        <v>31.3</v>
      </c>
    </row>
    <row r="160" spans="1:4" ht="15.75" customHeight="1" x14ac:dyDescent="0.5">
      <c r="A160" s="31">
        <v>29</v>
      </c>
      <c r="B160" s="32">
        <v>52.760000000000005</v>
      </c>
      <c r="C160" s="32">
        <v>199</v>
      </c>
      <c r="D160" s="33">
        <f t="shared" si="2"/>
        <v>52.760000000000005</v>
      </c>
    </row>
    <row r="161" spans="1:4" ht="15.75" customHeight="1" x14ac:dyDescent="0.5">
      <c r="A161" s="31">
        <v>125</v>
      </c>
      <c r="B161" s="32">
        <v>51.9</v>
      </c>
      <c r="C161" s="32">
        <v>201</v>
      </c>
      <c r="D161" s="33">
        <f t="shared" si="2"/>
        <v>51.9</v>
      </c>
    </row>
    <row r="162" spans="1:4" ht="15.75" customHeight="1" x14ac:dyDescent="0.5">
      <c r="A162" s="31">
        <v>194</v>
      </c>
      <c r="B162" s="32">
        <v>41.36</v>
      </c>
      <c r="C162" s="32">
        <v>204</v>
      </c>
      <c r="D162" s="33">
        <f t="shared" si="2"/>
        <v>41.36</v>
      </c>
    </row>
    <row r="163" spans="1:4" ht="15.75" customHeight="1" x14ac:dyDescent="0.5">
      <c r="A163" s="31">
        <v>142</v>
      </c>
      <c r="B163" s="32"/>
      <c r="C163" s="32">
        <v>207</v>
      </c>
      <c r="D163" s="33">
        <f>IF(ISBLANK(B163),AVERAGE(B160:B166),B163)</f>
        <v>49.443333333333328</v>
      </c>
    </row>
    <row r="164" spans="1:4" ht="15.75" customHeight="1" x14ac:dyDescent="0.5">
      <c r="A164" s="31">
        <v>105</v>
      </c>
      <c r="B164" s="32">
        <v>54.64</v>
      </c>
      <c r="C164" s="32">
        <v>208</v>
      </c>
      <c r="D164" s="33">
        <f t="shared" si="2"/>
        <v>54.64</v>
      </c>
    </row>
    <row r="165" spans="1:4" ht="15.75" customHeight="1" x14ac:dyDescent="0.5">
      <c r="A165" s="31">
        <v>154</v>
      </c>
      <c r="B165" s="32">
        <v>37.260000000000005</v>
      </c>
      <c r="C165" s="32">
        <v>208</v>
      </c>
      <c r="D165" s="33">
        <f t="shared" si="2"/>
        <v>37.260000000000005</v>
      </c>
    </row>
    <row r="166" spans="1:4" ht="15.75" customHeight="1" x14ac:dyDescent="0.5">
      <c r="A166" s="31">
        <v>138</v>
      </c>
      <c r="B166" s="32">
        <v>58.739999999999995</v>
      </c>
      <c r="C166" s="32">
        <v>210</v>
      </c>
      <c r="D166" s="33">
        <f t="shared" si="2"/>
        <v>58.739999999999995</v>
      </c>
    </row>
    <row r="167" spans="1:4" ht="15.75" customHeight="1" x14ac:dyDescent="0.5">
      <c r="A167" s="31">
        <v>177</v>
      </c>
      <c r="B167" s="32">
        <v>58.68</v>
      </c>
      <c r="C167" s="32">
        <v>216</v>
      </c>
      <c r="D167" s="33">
        <f t="shared" si="2"/>
        <v>58.68</v>
      </c>
    </row>
    <row r="168" spans="1:4" ht="15.75" customHeight="1" x14ac:dyDescent="0.5">
      <c r="A168" s="31">
        <v>143</v>
      </c>
      <c r="B168" s="32">
        <v>50.1</v>
      </c>
      <c r="C168" s="32">
        <v>218</v>
      </c>
      <c r="D168" s="33">
        <f t="shared" si="2"/>
        <v>50.1</v>
      </c>
    </row>
    <row r="169" spans="1:4" ht="15.75" customHeight="1" x14ac:dyDescent="0.5">
      <c r="A169" s="31">
        <v>55</v>
      </c>
      <c r="B169" s="32">
        <v>62.54</v>
      </c>
      <c r="C169" s="32">
        <v>220</v>
      </c>
      <c r="D169" s="33">
        <f t="shared" si="2"/>
        <v>62.54</v>
      </c>
    </row>
    <row r="170" spans="1:4" ht="15.75" customHeight="1" x14ac:dyDescent="0.5">
      <c r="A170" s="31">
        <v>112</v>
      </c>
      <c r="B170" s="32">
        <v>55.339999999999996</v>
      </c>
      <c r="C170" s="32">
        <v>221</v>
      </c>
      <c r="D170" s="33">
        <f t="shared" si="2"/>
        <v>55.339999999999996</v>
      </c>
    </row>
    <row r="171" spans="1:4" ht="15.75" customHeight="1" x14ac:dyDescent="0.5">
      <c r="A171" s="31">
        <v>85</v>
      </c>
      <c r="B171" s="32">
        <v>45.7</v>
      </c>
      <c r="C171" s="32">
        <v>223</v>
      </c>
      <c r="D171" s="33">
        <f t="shared" si="2"/>
        <v>45.7</v>
      </c>
    </row>
    <row r="172" spans="1:4" ht="15.75" customHeight="1" x14ac:dyDescent="0.5">
      <c r="A172" s="31">
        <v>54</v>
      </c>
      <c r="B172" s="32">
        <v>41.519999999999996</v>
      </c>
      <c r="C172" s="32">
        <v>225</v>
      </c>
      <c r="D172" s="33">
        <f t="shared" si="2"/>
        <v>41.519999999999996</v>
      </c>
    </row>
    <row r="173" spans="1:4" ht="15.75" customHeight="1" x14ac:dyDescent="0.5">
      <c r="A173" s="31">
        <v>94</v>
      </c>
      <c r="B173" s="32">
        <v>56.18</v>
      </c>
      <c r="C173" s="32">
        <v>225</v>
      </c>
      <c r="D173" s="33">
        <f t="shared" si="2"/>
        <v>56.18</v>
      </c>
    </row>
    <row r="174" spans="1:4" ht="15.75" customHeight="1" x14ac:dyDescent="0.5">
      <c r="A174" s="31">
        <v>43</v>
      </c>
      <c r="B174" s="32">
        <v>67.72</v>
      </c>
      <c r="C174" s="32">
        <v>226</v>
      </c>
      <c r="D174" s="33">
        <f t="shared" si="2"/>
        <v>67.72</v>
      </c>
    </row>
    <row r="175" spans="1:4" ht="15.75" customHeight="1" x14ac:dyDescent="0.5">
      <c r="A175" s="31">
        <v>140</v>
      </c>
      <c r="B175" s="32">
        <v>196.98</v>
      </c>
      <c r="C175" s="32">
        <v>227</v>
      </c>
      <c r="D175" s="33">
        <f t="shared" si="2"/>
        <v>196.98</v>
      </c>
    </row>
    <row r="176" spans="1:4" ht="15.75" customHeight="1" x14ac:dyDescent="0.5">
      <c r="A176" s="31">
        <v>186</v>
      </c>
      <c r="B176" s="32">
        <v>46</v>
      </c>
      <c r="C176" s="32">
        <v>228</v>
      </c>
      <c r="D176" s="33">
        <f t="shared" si="2"/>
        <v>46</v>
      </c>
    </row>
    <row r="177" spans="1:4" ht="15.75" customHeight="1" x14ac:dyDescent="0.5">
      <c r="A177" s="31">
        <v>70</v>
      </c>
      <c r="B177" s="32">
        <v>48.36</v>
      </c>
      <c r="C177" s="32">
        <v>229</v>
      </c>
      <c r="D177" s="33">
        <f t="shared" si="2"/>
        <v>48.36</v>
      </c>
    </row>
    <row r="178" spans="1:4" ht="15.75" customHeight="1" x14ac:dyDescent="0.5">
      <c r="A178" s="31">
        <v>40</v>
      </c>
      <c r="B178" s="32">
        <v>53.6</v>
      </c>
      <c r="C178" s="32">
        <v>230</v>
      </c>
      <c r="D178" s="33">
        <f t="shared" ref="D178:D201" si="3">IF(ISBLANK(B178),AVERAGE(B175:B181),B178)</f>
        <v>53.6</v>
      </c>
    </row>
    <row r="179" spans="1:4" ht="15.75" customHeight="1" x14ac:dyDescent="0.5">
      <c r="A179" s="31">
        <v>31</v>
      </c>
      <c r="B179" s="32">
        <v>59.58</v>
      </c>
      <c r="C179" s="32">
        <v>231</v>
      </c>
      <c r="D179" s="33">
        <f t="shared" si="3"/>
        <v>59.58</v>
      </c>
    </row>
    <row r="180" spans="1:4" ht="15.75" customHeight="1" x14ac:dyDescent="0.5">
      <c r="A180" s="31">
        <v>53</v>
      </c>
      <c r="B180" s="32">
        <v>44.28</v>
      </c>
      <c r="C180" s="32">
        <v>235</v>
      </c>
      <c r="D180" s="33">
        <f t="shared" si="3"/>
        <v>44.28</v>
      </c>
    </row>
    <row r="181" spans="1:4" ht="15.75" customHeight="1" x14ac:dyDescent="0.5">
      <c r="A181" s="31">
        <v>199</v>
      </c>
      <c r="B181" s="32">
        <v>57.720000000000006</v>
      </c>
      <c r="C181" s="32">
        <v>235.5</v>
      </c>
      <c r="D181" s="33">
        <f t="shared" si="3"/>
        <v>57.720000000000006</v>
      </c>
    </row>
    <row r="182" spans="1:4" ht="15.75" customHeight="1" x14ac:dyDescent="0.5">
      <c r="A182" s="31">
        <v>1</v>
      </c>
      <c r="B182" s="32">
        <v>56.02</v>
      </c>
      <c r="C182" s="32">
        <v>236</v>
      </c>
      <c r="D182" s="33">
        <f t="shared" si="3"/>
        <v>56.02</v>
      </c>
    </row>
    <row r="183" spans="1:4" ht="15.75" customHeight="1" x14ac:dyDescent="0.5">
      <c r="A183" s="31">
        <v>59</v>
      </c>
      <c r="B183" s="32">
        <v>49.160000000000004</v>
      </c>
      <c r="C183" s="32">
        <v>239</v>
      </c>
      <c r="D183" s="33">
        <f t="shared" si="3"/>
        <v>49.160000000000004</v>
      </c>
    </row>
    <row r="184" spans="1:4" ht="15.75" customHeight="1" x14ac:dyDescent="0.5">
      <c r="A184" s="31">
        <v>16</v>
      </c>
      <c r="B184" s="32">
        <v>42.08</v>
      </c>
      <c r="C184" s="32">
        <v>240</v>
      </c>
      <c r="D184" s="33">
        <f t="shared" si="3"/>
        <v>42.08</v>
      </c>
    </row>
    <row r="185" spans="1:4" ht="15.75" customHeight="1" x14ac:dyDescent="0.5">
      <c r="A185" s="31">
        <v>56</v>
      </c>
      <c r="B185" s="32">
        <v>40.78</v>
      </c>
      <c r="C185" s="32">
        <v>240</v>
      </c>
      <c r="D185" s="33">
        <f t="shared" si="3"/>
        <v>40.78</v>
      </c>
    </row>
    <row r="186" spans="1:4" ht="15.75" customHeight="1" x14ac:dyDescent="0.5">
      <c r="A186" s="31">
        <v>62</v>
      </c>
      <c r="B186" s="32">
        <v>61.260000000000005</v>
      </c>
      <c r="C186" s="32">
        <v>240</v>
      </c>
      <c r="D186" s="33">
        <f t="shared" si="3"/>
        <v>61.260000000000005</v>
      </c>
    </row>
    <row r="187" spans="1:4" ht="15.75" customHeight="1" x14ac:dyDescent="0.5">
      <c r="A187" s="31">
        <v>48</v>
      </c>
      <c r="B187" s="32">
        <v>52.980000000000004</v>
      </c>
      <c r="C187" s="32">
        <v>245</v>
      </c>
      <c r="D187" s="33">
        <f t="shared" si="3"/>
        <v>52.980000000000004</v>
      </c>
    </row>
    <row r="188" spans="1:4" ht="15.75" customHeight="1" x14ac:dyDescent="0.5">
      <c r="A188" s="31">
        <v>102</v>
      </c>
      <c r="B188" s="32">
        <v>63.279999999999994</v>
      </c>
      <c r="C188" s="32">
        <v>254</v>
      </c>
      <c r="D188" s="33">
        <f t="shared" si="3"/>
        <v>63.279999999999994</v>
      </c>
    </row>
    <row r="189" spans="1:4" ht="15.75" customHeight="1" x14ac:dyDescent="0.5">
      <c r="A189" s="31">
        <v>37</v>
      </c>
      <c r="B189" s="32">
        <v>56.379999999999995</v>
      </c>
      <c r="C189" s="32">
        <v>256</v>
      </c>
      <c r="D189" s="33">
        <f t="shared" si="3"/>
        <v>56.379999999999995</v>
      </c>
    </row>
    <row r="190" spans="1:4" ht="15.75" customHeight="1" x14ac:dyDescent="0.5">
      <c r="A190" s="31">
        <v>99</v>
      </c>
      <c r="B190" s="32">
        <v>64.94</v>
      </c>
      <c r="C190" s="32">
        <v>257</v>
      </c>
      <c r="D190" s="33">
        <f t="shared" si="3"/>
        <v>64.94</v>
      </c>
    </row>
    <row r="191" spans="1:4" ht="15.75" customHeight="1" x14ac:dyDescent="0.5">
      <c r="A191" s="31">
        <v>18</v>
      </c>
      <c r="B191" s="32">
        <v>62.279999999999994</v>
      </c>
      <c r="C191" s="32">
        <v>258</v>
      </c>
      <c r="D191" s="33">
        <f t="shared" si="3"/>
        <v>62.279999999999994</v>
      </c>
    </row>
    <row r="192" spans="1:4" ht="15.75" customHeight="1" x14ac:dyDescent="0.5">
      <c r="A192" s="31">
        <v>129</v>
      </c>
      <c r="B192" s="32">
        <v>54.06</v>
      </c>
      <c r="C192" s="32">
        <v>264</v>
      </c>
      <c r="D192" s="33">
        <f t="shared" si="3"/>
        <v>54.06</v>
      </c>
    </row>
    <row r="193" spans="1:4" ht="15.75" customHeight="1" x14ac:dyDescent="0.5">
      <c r="A193" s="31">
        <v>148</v>
      </c>
      <c r="B193" s="32">
        <v>50.64</v>
      </c>
      <c r="C193" s="32">
        <v>265</v>
      </c>
      <c r="D193" s="33">
        <f t="shared" si="3"/>
        <v>50.64</v>
      </c>
    </row>
    <row r="194" spans="1:4" ht="15.75" customHeight="1" x14ac:dyDescent="0.5">
      <c r="A194" s="31">
        <v>176</v>
      </c>
      <c r="B194" s="32">
        <v>64.38</v>
      </c>
      <c r="C194" s="32">
        <v>271</v>
      </c>
      <c r="D194" s="33">
        <f t="shared" si="3"/>
        <v>64.38</v>
      </c>
    </row>
    <row r="195" spans="1:4" ht="15.75" customHeight="1" x14ac:dyDescent="0.5">
      <c r="A195" s="31">
        <v>184</v>
      </c>
      <c r="B195" s="32">
        <v>65.52000000000001</v>
      </c>
      <c r="C195" s="32">
        <v>272</v>
      </c>
      <c r="D195" s="33">
        <f t="shared" si="3"/>
        <v>65.52000000000001</v>
      </c>
    </row>
    <row r="196" spans="1:4" ht="15.75" customHeight="1" x14ac:dyDescent="0.5">
      <c r="A196" s="31">
        <v>64</v>
      </c>
      <c r="B196" s="32">
        <v>27.54</v>
      </c>
      <c r="C196" s="32">
        <v>298.75</v>
      </c>
      <c r="D196" s="33">
        <f t="shared" si="3"/>
        <v>27.54</v>
      </c>
    </row>
    <row r="197" spans="1:4" ht="15.75" customHeight="1" x14ac:dyDescent="0.5">
      <c r="A197" s="31">
        <v>93</v>
      </c>
      <c r="B197" s="32">
        <v>47.54</v>
      </c>
      <c r="C197" s="32">
        <v>811</v>
      </c>
      <c r="D197" s="33">
        <f t="shared" si="3"/>
        <v>47.54</v>
      </c>
    </row>
    <row r="198" spans="1:4" ht="15.75" customHeight="1" x14ac:dyDescent="0.5">
      <c r="A198" s="31">
        <v>23</v>
      </c>
      <c r="B198" s="32">
        <v>11.64</v>
      </c>
      <c r="C198" s="32"/>
      <c r="D198" s="33">
        <f t="shared" si="3"/>
        <v>11.64</v>
      </c>
    </row>
    <row r="199" spans="1:4" ht="15.75" customHeight="1" x14ac:dyDescent="0.5">
      <c r="A199" s="31">
        <v>110</v>
      </c>
      <c r="B199" s="32">
        <v>53.08</v>
      </c>
      <c r="C199" s="32"/>
      <c r="D199" s="33">
        <f t="shared" si="3"/>
        <v>53.08</v>
      </c>
    </row>
    <row r="200" spans="1:4" ht="15.75" customHeight="1" x14ac:dyDescent="0.5">
      <c r="A200" s="31">
        <v>134</v>
      </c>
      <c r="B200" s="32">
        <v>45.96</v>
      </c>
      <c r="C200" s="32"/>
      <c r="D200" s="33">
        <f>IF(ISBLANK(B200),AVERAGE(B197:B203),B200)</f>
        <v>45.96</v>
      </c>
    </row>
    <row r="201" spans="1:4" ht="15.75" customHeight="1" x14ac:dyDescent="0.5">
      <c r="A201" s="31">
        <v>144</v>
      </c>
      <c r="B201" s="32">
        <v>28.919999999999998</v>
      </c>
      <c r="C201" s="32"/>
      <c r="D201" s="33">
        <f>IF(ISBLANK(B201),AVERAGE(B198:B204),B201)</f>
        <v>28.919999999999998</v>
      </c>
    </row>
    <row r="202" spans="1:4" ht="15.75" customHeight="1" x14ac:dyDescent="0.5"/>
    <row r="203" spans="1:4" ht="15.75" customHeight="1" x14ac:dyDescent="0.5"/>
    <row r="204" spans="1:4" ht="15.75" customHeight="1" x14ac:dyDescent="0.5"/>
    <row r="205" spans="1:4" ht="15.75" customHeight="1" x14ac:dyDescent="0.5"/>
    <row r="206" spans="1:4" ht="15.75" customHeight="1" x14ac:dyDescent="0.5"/>
    <row r="207" spans="1:4" ht="15.75" customHeight="1" x14ac:dyDescent="0.5"/>
    <row r="208" spans="1:4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autoFilter ref="A1:D201" xr:uid="{394FCDA5-4C83-3747-A4FE-4E130E342A6B}">
    <sortState xmlns:xlrd2="http://schemas.microsoft.com/office/spreadsheetml/2017/richdata2" ref="A2:D201">
      <sortCondition ref="C1:C201"/>
    </sortState>
  </autoFilter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1644F-52B2-E24D-85DA-AFB8901C6F30}">
  <dimension ref="A1:W1000"/>
  <sheetViews>
    <sheetView showGridLines="0" topLeftCell="I1" zoomScale="68" zoomScaleNormal="200" workbookViewId="0">
      <selection activeCell="Z12" sqref="Z12"/>
    </sheetView>
  </sheetViews>
  <sheetFormatPr defaultColWidth="11.1875" defaultRowHeight="15" customHeight="1" x14ac:dyDescent="0.5"/>
  <cols>
    <col min="1" max="2" width="10.5" customWidth="1"/>
    <col min="3" max="3" width="14.5" bestFit="1" customWidth="1"/>
    <col min="4" max="4" width="12" bestFit="1" customWidth="1"/>
    <col min="5" max="6" width="10.5" customWidth="1"/>
    <col min="7" max="7" width="13" bestFit="1" customWidth="1"/>
    <col min="8" max="8" width="15.6875" style="3" bestFit="1" customWidth="1"/>
    <col min="9" max="9" width="19.0625" style="4" bestFit="1" customWidth="1"/>
    <col min="10" max="10" width="14.5" bestFit="1" customWidth="1"/>
    <col min="11" max="11" width="18.5625" bestFit="1" customWidth="1"/>
    <col min="12" max="12" width="16.0625" bestFit="1" customWidth="1"/>
    <col min="13" max="13" width="14.875" bestFit="1" customWidth="1"/>
    <col min="14" max="14" width="10.5" customWidth="1"/>
    <col min="15" max="15" width="25.6875" customWidth="1"/>
    <col min="16" max="20" width="10.5" customWidth="1"/>
    <col min="21" max="21" width="12.25" bestFit="1" customWidth="1"/>
    <col min="22" max="30" width="10.5" customWidth="1"/>
  </cols>
  <sheetData>
    <row r="1" spans="1:23" ht="42" customHeight="1" thickBot="1" x14ac:dyDescent="0.55000000000000004">
      <c r="A1" s="30" t="s">
        <v>0</v>
      </c>
      <c r="B1" s="30" t="s">
        <v>17</v>
      </c>
      <c r="C1" s="30" t="s">
        <v>1</v>
      </c>
      <c r="D1" s="72" t="s">
        <v>12</v>
      </c>
      <c r="E1" s="72" t="s">
        <v>13</v>
      </c>
      <c r="F1" s="72" t="s">
        <v>14</v>
      </c>
      <c r="G1" s="72" t="s">
        <v>15</v>
      </c>
      <c r="H1" s="72" t="s">
        <v>16</v>
      </c>
      <c r="I1" s="77" t="s">
        <v>12</v>
      </c>
      <c r="J1" s="77" t="s">
        <v>13</v>
      </c>
      <c r="K1" s="77" t="s">
        <v>14</v>
      </c>
      <c r="L1" s="78" t="s">
        <v>15</v>
      </c>
      <c r="M1" s="77" t="s">
        <v>16</v>
      </c>
    </row>
    <row r="2" spans="1:23" ht="22.9" customHeight="1" x14ac:dyDescent="0.65">
      <c r="A2" s="31">
        <v>1</v>
      </c>
      <c r="B2" s="31">
        <f t="shared" ref="B2:B33" si="0">WEEKDAY(C2,2)</f>
        <v>6</v>
      </c>
      <c r="C2" s="73">
        <f t="shared" ref="C2:C33" si="1">+C3-1</f>
        <v>44996</v>
      </c>
      <c r="D2" s="33">
        <v>56.02</v>
      </c>
      <c r="E2" s="33">
        <v>37.799999999999997</v>
      </c>
      <c r="F2" s="33">
        <v>69.2</v>
      </c>
      <c r="G2" s="33">
        <v>14.229999999999993</v>
      </c>
      <c r="H2" s="33">
        <v>236</v>
      </c>
      <c r="I2" s="33">
        <f>IF(D2&gt;T$4,T$4,D2)</f>
        <v>56.02</v>
      </c>
      <c r="J2" s="33">
        <f>IF(E2&gt;T$5,T$5,E2)</f>
        <v>37.799999999999997</v>
      </c>
      <c r="K2" s="33">
        <f>IF(F2&gt;T$6,T$6,F2)</f>
        <v>69.2</v>
      </c>
      <c r="L2" s="33">
        <f>IF(G2&gt;T$7,T$7,G2)</f>
        <v>14.229999999999993</v>
      </c>
      <c r="M2" s="33">
        <f>IF(H2&gt;T$8,T$8,H2)</f>
        <v>236</v>
      </c>
      <c r="O2" s="74" t="s">
        <v>69</v>
      </c>
      <c r="P2" s="75"/>
      <c r="Q2" s="75"/>
      <c r="R2" s="75"/>
      <c r="S2" s="75"/>
      <c r="T2" s="75"/>
      <c r="U2" s="76"/>
    </row>
    <row r="3" spans="1:23" ht="15.75" customHeight="1" x14ac:dyDescent="0.5">
      <c r="A3" s="31">
        <v>2</v>
      </c>
      <c r="B3" s="31">
        <f t="shared" si="0"/>
        <v>7</v>
      </c>
      <c r="C3" s="73">
        <f t="shared" si="1"/>
        <v>44997</v>
      </c>
      <c r="D3" s="33">
        <v>10.9</v>
      </c>
      <c r="E3" s="33">
        <v>39.299999999999997</v>
      </c>
      <c r="F3" s="33">
        <v>45.1</v>
      </c>
      <c r="G3" s="33">
        <v>6.0599999999999952</v>
      </c>
      <c r="H3" s="33">
        <v>122</v>
      </c>
      <c r="I3" s="33">
        <f t="shared" ref="I3:I66" si="2">IF(D3&gt;T$4,T$4,D3)</f>
        <v>10.9</v>
      </c>
      <c r="J3" s="33">
        <f>IF(E3&gt;T$5,T$5,E3)</f>
        <v>39.299999999999997</v>
      </c>
      <c r="K3" s="33">
        <f t="shared" ref="K3:K66" si="3">IF(F3&gt;T$6,T$6,F3)</f>
        <v>45.1</v>
      </c>
      <c r="L3" s="33">
        <f t="shared" ref="L3:L66" si="4">IF(G3&gt;T$7,T$7,G3)</f>
        <v>6.0599999999999952</v>
      </c>
      <c r="M3" s="33">
        <f t="shared" ref="M3:M66" si="5">IF(H3&gt;T$8,T$8,H3)</f>
        <v>122</v>
      </c>
      <c r="N3" s="4"/>
      <c r="O3" s="63" t="s">
        <v>50</v>
      </c>
      <c r="P3" s="61" t="s">
        <v>20</v>
      </c>
      <c r="Q3" s="61" t="s">
        <v>21</v>
      </c>
      <c r="R3" s="61" t="s">
        <v>22</v>
      </c>
      <c r="S3" s="61" t="s">
        <v>66</v>
      </c>
      <c r="T3" s="61" t="s">
        <v>67</v>
      </c>
      <c r="U3" s="64" t="s">
        <v>68</v>
      </c>
      <c r="V3" s="4"/>
      <c r="W3" s="4"/>
    </row>
    <row r="4" spans="1:23" ht="15.75" customHeight="1" x14ac:dyDescent="0.5">
      <c r="A4" s="31">
        <v>3</v>
      </c>
      <c r="B4" s="31">
        <f t="shared" si="0"/>
        <v>1</v>
      </c>
      <c r="C4" s="73">
        <f t="shared" si="1"/>
        <v>44998</v>
      </c>
      <c r="D4" s="33">
        <v>12.44</v>
      </c>
      <c r="E4" s="33">
        <v>45.9</v>
      </c>
      <c r="F4" s="33">
        <v>69.3</v>
      </c>
      <c r="G4" s="33">
        <v>16.95</v>
      </c>
      <c r="H4" s="33">
        <v>96</v>
      </c>
      <c r="I4" s="33">
        <f t="shared" si="2"/>
        <v>12.44</v>
      </c>
      <c r="J4" s="33">
        <f>IF(E4&gt;T$5,T$5,E4)</f>
        <v>45.9</v>
      </c>
      <c r="K4" s="33">
        <f t="shared" si="3"/>
        <v>69.3</v>
      </c>
      <c r="L4" s="33">
        <f t="shared" si="4"/>
        <v>16.95</v>
      </c>
      <c r="M4" s="33">
        <f t="shared" si="5"/>
        <v>96</v>
      </c>
      <c r="N4" s="4"/>
      <c r="O4" s="65" t="s">
        <v>59</v>
      </c>
      <c r="P4" s="62">
        <f>QUARTILE($D$2:$D$201,1)</f>
        <v>20.455000000000002</v>
      </c>
      <c r="Q4" s="62">
        <f>QUARTILE($D$2:$D$201,3)</f>
        <v>50.744999999999997</v>
      </c>
      <c r="R4" s="62">
        <f>Q4-P4</f>
        <v>30.289999999999996</v>
      </c>
      <c r="S4" s="62">
        <f>P4-1.5*R4</f>
        <v>-24.979999999999993</v>
      </c>
      <c r="T4" s="62">
        <f>Q4+1.5*R4</f>
        <v>96.179999999999993</v>
      </c>
      <c r="U4" s="66">
        <v>3</v>
      </c>
      <c r="V4" s="4"/>
      <c r="W4" s="4"/>
    </row>
    <row r="5" spans="1:23" ht="15.75" customHeight="1" x14ac:dyDescent="0.5">
      <c r="A5" s="31">
        <v>4</v>
      </c>
      <c r="B5" s="31">
        <f t="shared" si="0"/>
        <v>2</v>
      </c>
      <c r="C5" s="73">
        <f t="shared" si="1"/>
        <v>44999</v>
      </c>
      <c r="D5" s="33">
        <v>31.3</v>
      </c>
      <c r="E5" s="33">
        <v>41.3</v>
      </c>
      <c r="F5" s="33">
        <v>58.5</v>
      </c>
      <c r="G5" s="33">
        <v>12.399999999999995</v>
      </c>
      <c r="H5" s="33">
        <v>197</v>
      </c>
      <c r="I5" s="33">
        <f t="shared" si="2"/>
        <v>31.3</v>
      </c>
      <c r="J5" s="33">
        <f>IF(E5&gt;T$5,T$5,E5)</f>
        <v>41.3</v>
      </c>
      <c r="K5" s="33">
        <f t="shared" si="3"/>
        <v>58.5</v>
      </c>
      <c r="L5" s="33">
        <f t="shared" si="4"/>
        <v>12.399999999999995</v>
      </c>
      <c r="M5" s="33">
        <f t="shared" si="5"/>
        <v>197</v>
      </c>
      <c r="N5" s="4"/>
      <c r="O5" s="65" t="s">
        <v>60</v>
      </c>
      <c r="P5" s="62">
        <f>QUARTILE($E$2:$E$201,1)</f>
        <v>10.074999999999999</v>
      </c>
      <c r="Q5" s="62">
        <f>QUARTILE($E$2:$E$201,3)</f>
        <v>36.824999999999996</v>
      </c>
      <c r="R5" s="62">
        <f t="shared" ref="R5:R8" si="6">Q5-P5</f>
        <v>26.749999999999996</v>
      </c>
      <c r="S5" s="62">
        <f t="shared" ref="S5:S8" si="7">P5-1.5*R5</f>
        <v>-30.049999999999994</v>
      </c>
      <c r="T5" s="62">
        <f t="shared" ref="T5:T8" si="8">Q5+1.5*R5</f>
        <v>76.949999999999989</v>
      </c>
      <c r="U5" s="66">
        <v>2</v>
      </c>
      <c r="V5" s="4"/>
      <c r="W5" s="4"/>
    </row>
    <row r="6" spans="1:23" ht="15.75" customHeight="1" x14ac:dyDescent="0.5">
      <c r="A6" s="31">
        <v>5</v>
      </c>
      <c r="B6" s="31">
        <f t="shared" si="0"/>
        <v>3</v>
      </c>
      <c r="C6" s="73">
        <f t="shared" si="1"/>
        <v>45000</v>
      </c>
      <c r="D6" s="33">
        <v>46.160000000000004</v>
      </c>
      <c r="E6" s="33">
        <v>10.8</v>
      </c>
      <c r="F6" s="33">
        <v>58.4</v>
      </c>
      <c r="G6" s="33">
        <v>0.12000000000000455</v>
      </c>
      <c r="H6" s="33">
        <v>137</v>
      </c>
      <c r="I6" s="33">
        <f t="shared" si="2"/>
        <v>46.160000000000004</v>
      </c>
      <c r="J6" s="33">
        <f>IF(E6&gt;T$5,T$5,E6)</f>
        <v>10.8</v>
      </c>
      <c r="K6" s="33">
        <f t="shared" si="3"/>
        <v>58.4</v>
      </c>
      <c r="L6" s="33">
        <f t="shared" si="4"/>
        <v>0.12000000000000455</v>
      </c>
      <c r="M6" s="33">
        <f t="shared" si="5"/>
        <v>137</v>
      </c>
      <c r="N6" s="4"/>
      <c r="O6" s="65" t="s">
        <v>61</v>
      </c>
      <c r="P6" s="62">
        <f>QUARTILE($F$2:$F$201,1)</f>
        <v>12.75</v>
      </c>
      <c r="Q6" s="62">
        <f>QUARTILE($F$2:$F$201,3)</f>
        <v>45.1</v>
      </c>
      <c r="R6" s="62">
        <f t="shared" si="6"/>
        <v>32.35</v>
      </c>
      <c r="S6" s="62">
        <f t="shared" si="7"/>
        <v>-35.775000000000006</v>
      </c>
      <c r="T6" s="62">
        <f t="shared" si="8"/>
        <v>93.625</v>
      </c>
      <c r="U6" s="66">
        <v>0</v>
      </c>
      <c r="V6" s="4"/>
      <c r="W6" s="4"/>
    </row>
    <row r="7" spans="1:23" ht="15.75" customHeight="1" x14ac:dyDescent="0.5">
      <c r="A7" s="31">
        <v>6</v>
      </c>
      <c r="B7" s="31">
        <f t="shared" si="0"/>
        <v>4</v>
      </c>
      <c r="C7" s="73">
        <f t="shared" si="1"/>
        <v>45001</v>
      </c>
      <c r="D7" s="33">
        <v>6.74</v>
      </c>
      <c r="E7" s="33">
        <v>48.9</v>
      </c>
      <c r="F7" s="33">
        <v>75</v>
      </c>
      <c r="G7" s="33">
        <v>15.32</v>
      </c>
      <c r="H7" s="33">
        <v>86</v>
      </c>
      <c r="I7" s="33">
        <f t="shared" si="2"/>
        <v>6.74</v>
      </c>
      <c r="J7" s="33">
        <f>IF(E7&gt;T$5,T$5,E7)</f>
        <v>48.9</v>
      </c>
      <c r="K7" s="33">
        <f t="shared" si="3"/>
        <v>75</v>
      </c>
      <c r="L7" s="33">
        <f t="shared" si="4"/>
        <v>15.32</v>
      </c>
      <c r="M7" s="33">
        <f t="shared" si="5"/>
        <v>86</v>
      </c>
      <c r="N7" s="4"/>
      <c r="O7" s="65" t="s">
        <v>8</v>
      </c>
      <c r="P7" s="62">
        <f>QUARTILE($G$2:$G$201,1)</f>
        <v>11.175000000000001</v>
      </c>
      <c r="Q7" s="62">
        <f>QUARTILE($G$2:$G$201,3)</f>
        <v>23.407499999999999</v>
      </c>
      <c r="R7" s="62">
        <f t="shared" si="6"/>
        <v>12.232499999999998</v>
      </c>
      <c r="S7" s="62">
        <f t="shared" si="7"/>
        <v>-7.1737499999999947</v>
      </c>
      <c r="T7" s="62">
        <f t="shared" si="8"/>
        <v>41.756249999999994</v>
      </c>
      <c r="U7" s="66">
        <v>6</v>
      </c>
      <c r="V7" s="4"/>
      <c r="W7" s="4"/>
    </row>
    <row r="8" spans="1:23" ht="15.75" customHeight="1" thickBot="1" x14ac:dyDescent="0.55000000000000004">
      <c r="A8" s="31">
        <v>7</v>
      </c>
      <c r="B8" s="31">
        <f t="shared" si="0"/>
        <v>5</v>
      </c>
      <c r="C8" s="73">
        <f t="shared" si="1"/>
        <v>45002</v>
      </c>
      <c r="D8" s="33">
        <v>13.5</v>
      </c>
      <c r="E8" s="33">
        <v>32.799999999999997</v>
      </c>
      <c r="F8" s="33">
        <v>23.5</v>
      </c>
      <c r="G8" s="33">
        <v>12.749999999999998</v>
      </c>
      <c r="H8" s="33">
        <v>123</v>
      </c>
      <c r="I8" s="33">
        <f t="shared" si="2"/>
        <v>13.5</v>
      </c>
      <c r="J8" s="33">
        <f>IF(E8&gt;T$5,T$5,E8)</f>
        <v>32.799999999999997</v>
      </c>
      <c r="K8" s="33">
        <f t="shared" si="3"/>
        <v>23.5</v>
      </c>
      <c r="L8" s="33">
        <f t="shared" si="4"/>
        <v>12.749999999999998</v>
      </c>
      <c r="M8" s="33">
        <f t="shared" si="5"/>
        <v>123</v>
      </c>
      <c r="N8" s="4"/>
      <c r="O8" s="67" t="s">
        <v>5</v>
      </c>
      <c r="P8" s="68">
        <f>QUARTILE($H$2:$H$201,1)</f>
        <v>115.5</v>
      </c>
      <c r="Q8" s="68">
        <f>QUARTILE($H$2:$H$201,3)</f>
        <v>186</v>
      </c>
      <c r="R8" s="68">
        <f t="shared" si="6"/>
        <v>70.5</v>
      </c>
      <c r="S8" s="68">
        <f t="shared" si="7"/>
        <v>9.75</v>
      </c>
      <c r="T8" s="68">
        <f t="shared" si="8"/>
        <v>291.75</v>
      </c>
      <c r="U8" s="69">
        <v>2</v>
      </c>
      <c r="V8" s="4"/>
      <c r="W8" s="4"/>
    </row>
    <row r="9" spans="1:23" ht="15.75" customHeight="1" x14ac:dyDescent="0.5">
      <c r="A9" s="31">
        <v>8</v>
      </c>
      <c r="B9" s="31">
        <f t="shared" si="0"/>
        <v>6</v>
      </c>
      <c r="C9" s="73">
        <f t="shared" si="1"/>
        <v>45003</v>
      </c>
      <c r="D9" s="33">
        <v>31.04</v>
      </c>
      <c r="E9" s="33">
        <v>19.600000000000001</v>
      </c>
      <c r="F9" s="33">
        <v>11.6</v>
      </c>
      <c r="G9" s="33">
        <v>17.18</v>
      </c>
      <c r="H9" s="33">
        <v>152</v>
      </c>
      <c r="I9" s="33">
        <f t="shared" si="2"/>
        <v>31.04</v>
      </c>
      <c r="J9" s="33">
        <f>IF(E9&gt;T$5,T$5,E9)</f>
        <v>19.600000000000001</v>
      </c>
      <c r="K9" s="33">
        <f t="shared" si="3"/>
        <v>11.6</v>
      </c>
      <c r="L9" s="33">
        <f t="shared" si="4"/>
        <v>17.18</v>
      </c>
      <c r="M9" s="33">
        <f t="shared" si="5"/>
        <v>152</v>
      </c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ht="15.75" customHeight="1" x14ac:dyDescent="0.5">
      <c r="A10" s="31">
        <v>9</v>
      </c>
      <c r="B10" s="31">
        <f t="shared" si="0"/>
        <v>7</v>
      </c>
      <c r="C10" s="73">
        <f t="shared" si="1"/>
        <v>45004</v>
      </c>
      <c r="D10" s="33">
        <v>9.7200000000000006</v>
      </c>
      <c r="E10" s="33">
        <v>2.1</v>
      </c>
      <c r="F10" s="33">
        <v>1</v>
      </c>
      <c r="G10" s="33">
        <v>1.5100000000000002</v>
      </c>
      <c r="H10" s="33">
        <v>54</v>
      </c>
      <c r="I10" s="33">
        <f t="shared" si="2"/>
        <v>9.7200000000000006</v>
      </c>
      <c r="J10" s="33">
        <f>IF(E10&gt;T$5,T$5,E10)</f>
        <v>2.1</v>
      </c>
      <c r="K10" s="33">
        <f t="shared" si="3"/>
        <v>1</v>
      </c>
      <c r="L10" s="33">
        <f t="shared" si="4"/>
        <v>1.5100000000000002</v>
      </c>
      <c r="M10" s="33">
        <f t="shared" si="5"/>
        <v>54</v>
      </c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3" ht="15.75" customHeight="1" thickBot="1" x14ac:dyDescent="0.55000000000000004">
      <c r="A11" s="31">
        <v>10</v>
      </c>
      <c r="B11" s="31">
        <f t="shared" si="0"/>
        <v>1</v>
      </c>
      <c r="C11" s="73">
        <f t="shared" si="1"/>
        <v>45005</v>
      </c>
      <c r="D11" s="33">
        <v>40.96</v>
      </c>
      <c r="E11" s="33">
        <v>2.6</v>
      </c>
      <c r="F11" s="33">
        <v>21.2</v>
      </c>
      <c r="G11" s="33">
        <v>12.8</v>
      </c>
      <c r="H11" s="33">
        <v>119</v>
      </c>
      <c r="I11" s="33">
        <f t="shared" si="2"/>
        <v>40.96</v>
      </c>
      <c r="J11" s="33">
        <f>IF(E11&gt;T$5,T$5,E11)</f>
        <v>2.6</v>
      </c>
      <c r="K11" s="33">
        <f t="shared" si="3"/>
        <v>21.2</v>
      </c>
      <c r="L11" s="33">
        <f t="shared" si="4"/>
        <v>12.8</v>
      </c>
      <c r="M11" s="33">
        <f t="shared" si="5"/>
        <v>119</v>
      </c>
      <c r="N11" s="4"/>
      <c r="S11" s="4"/>
      <c r="T11" s="4"/>
      <c r="U11" s="4"/>
      <c r="V11" s="4"/>
      <c r="W11" s="4"/>
    </row>
    <row r="12" spans="1:23" ht="24.4" customHeight="1" x14ac:dyDescent="0.65">
      <c r="A12" s="31">
        <v>11</v>
      </c>
      <c r="B12" s="31">
        <f t="shared" si="0"/>
        <v>2</v>
      </c>
      <c r="C12" s="73">
        <f t="shared" si="1"/>
        <v>45006</v>
      </c>
      <c r="D12" s="33">
        <v>23.22</v>
      </c>
      <c r="E12" s="33">
        <v>5.8</v>
      </c>
      <c r="F12" s="33">
        <v>24.2</v>
      </c>
      <c r="G12" s="33">
        <v>19.829999999999998</v>
      </c>
      <c r="H12" s="33">
        <v>95</v>
      </c>
      <c r="I12" s="33">
        <f t="shared" si="2"/>
        <v>23.22</v>
      </c>
      <c r="J12" s="33">
        <f>IF(E12&gt;T$5,T$5,E12)</f>
        <v>5.8</v>
      </c>
      <c r="K12" s="33">
        <f t="shared" si="3"/>
        <v>24.2</v>
      </c>
      <c r="L12" s="33">
        <f t="shared" si="4"/>
        <v>19.829999999999998</v>
      </c>
      <c r="M12" s="33">
        <f t="shared" si="5"/>
        <v>95</v>
      </c>
      <c r="N12" s="4"/>
      <c r="O12" s="74" t="s">
        <v>73</v>
      </c>
      <c r="P12" s="75"/>
      <c r="Q12" s="75"/>
      <c r="R12" s="76"/>
      <c r="S12" s="4"/>
      <c r="T12" s="4"/>
      <c r="U12" s="4"/>
      <c r="V12" s="4"/>
      <c r="W12" s="4"/>
    </row>
    <row r="13" spans="1:23" ht="15.75" customHeight="1" x14ac:dyDescent="0.5">
      <c r="A13" s="31">
        <v>12</v>
      </c>
      <c r="B13" s="31">
        <f t="shared" si="0"/>
        <v>3</v>
      </c>
      <c r="C13" s="73">
        <f t="shared" si="1"/>
        <v>45007</v>
      </c>
      <c r="D13" s="33">
        <v>50.94</v>
      </c>
      <c r="E13" s="33">
        <v>24</v>
      </c>
      <c r="F13" s="33">
        <v>4</v>
      </c>
      <c r="G13" s="33">
        <v>31.869999999999997</v>
      </c>
      <c r="H13" s="33">
        <v>151.5</v>
      </c>
      <c r="I13" s="33">
        <f t="shared" si="2"/>
        <v>50.94</v>
      </c>
      <c r="J13" s="33">
        <f>IF(E13&gt;T$5,T$5,E13)</f>
        <v>24</v>
      </c>
      <c r="K13" s="33">
        <f t="shared" si="3"/>
        <v>4</v>
      </c>
      <c r="L13" s="33">
        <f t="shared" si="4"/>
        <v>31.869999999999997</v>
      </c>
      <c r="M13" s="33">
        <f t="shared" si="5"/>
        <v>151.5</v>
      </c>
      <c r="N13" s="4"/>
      <c r="O13" s="63" t="s">
        <v>0</v>
      </c>
      <c r="P13" s="61" t="s">
        <v>70</v>
      </c>
      <c r="Q13" s="61" t="s">
        <v>71</v>
      </c>
      <c r="R13" s="64" t="s">
        <v>72</v>
      </c>
      <c r="S13" s="4"/>
      <c r="T13" s="4"/>
      <c r="U13" s="4"/>
      <c r="V13" s="4"/>
      <c r="W13" s="4"/>
    </row>
    <row r="14" spans="1:23" ht="15.75" customHeight="1" x14ac:dyDescent="0.5">
      <c r="A14" s="31">
        <v>13</v>
      </c>
      <c r="B14" s="31">
        <f t="shared" si="0"/>
        <v>4</v>
      </c>
      <c r="C14" s="73">
        <f t="shared" si="1"/>
        <v>45008</v>
      </c>
      <c r="D14" s="33">
        <v>10.76</v>
      </c>
      <c r="E14" s="33">
        <v>35.1</v>
      </c>
      <c r="F14" s="33">
        <v>65.900000000000006</v>
      </c>
      <c r="G14" s="33">
        <v>17.100000000000001</v>
      </c>
      <c r="H14" s="33">
        <v>95</v>
      </c>
      <c r="I14" s="33">
        <f t="shared" si="2"/>
        <v>10.76</v>
      </c>
      <c r="J14" s="33">
        <f>IF(E14&gt;T$5,T$5,E14)</f>
        <v>35.1</v>
      </c>
      <c r="K14" s="33">
        <f t="shared" si="3"/>
        <v>65.900000000000006</v>
      </c>
      <c r="L14" s="33">
        <f t="shared" si="4"/>
        <v>17.100000000000001</v>
      </c>
      <c r="M14" s="33">
        <f t="shared" si="5"/>
        <v>95</v>
      </c>
      <c r="N14" s="4"/>
      <c r="O14" s="65">
        <v>82</v>
      </c>
      <c r="P14" s="62" t="s">
        <v>49</v>
      </c>
      <c r="Q14" s="62">
        <v>152</v>
      </c>
      <c r="R14" s="70">
        <f>T4</f>
        <v>96.179999999999993</v>
      </c>
      <c r="S14" s="4"/>
      <c r="T14" s="4"/>
      <c r="U14" s="4"/>
      <c r="V14" s="4"/>
      <c r="W14" s="4"/>
    </row>
    <row r="15" spans="1:23" ht="15.75" customHeight="1" thickBot="1" x14ac:dyDescent="0.55000000000000004">
      <c r="A15" s="31">
        <v>14</v>
      </c>
      <c r="B15" s="31">
        <f t="shared" si="0"/>
        <v>5</v>
      </c>
      <c r="C15" s="73">
        <f t="shared" si="1"/>
        <v>45009</v>
      </c>
      <c r="D15" s="33">
        <v>26.5</v>
      </c>
      <c r="E15" s="33">
        <v>7.6</v>
      </c>
      <c r="F15" s="33">
        <v>7.2</v>
      </c>
      <c r="G15" s="33">
        <v>17.100000000000001</v>
      </c>
      <c r="H15" s="33">
        <v>113</v>
      </c>
      <c r="I15" s="33">
        <f t="shared" si="2"/>
        <v>26.5</v>
      </c>
      <c r="J15" s="33">
        <f>IF(E15&gt;T$5,T$5,E15)</f>
        <v>7.6</v>
      </c>
      <c r="K15" s="33">
        <f t="shared" si="3"/>
        <v>7.2</v>
      </c>
      <c r="L15" s="33">
        <f t="shared" si="4"/>
        <v>17.100000000000001</v>
      </c>
      <c r="M15" s="33">
        <f t="shared" si="5"/>
        <v>113</v>
      </c>
      <c r="N15" s="4"/>
      <c r="O15" s="67">
        <v>93</v>
      </c>
      <c r="P15" s="68" t="s">
        <v>5</v>
      </c>
      <c r="Q15" s="68">
        <v>811</v>
      </c>
      <c r="R15" s="71">
        <f>T8</f>
        <v>291.75</v>
      </c>
      <c r="S15" s="4"/>
      <c r="T15" s="4"/>
      <c r="U15" s="4"/>
      <c r="V15" s="4"/>
      <c r="W15" s="4"/>
    </row>
    <row r="16" spans="1:23" ht="15.75" customHeight="1" x14ac:dyDescent="0.5">
      <c r="A16" s="31">
        <v>15</v>
      </c>
      <c r="B16" s="31">
        <f t="shared" si="0"/>
        <v>6</v>
      </c>
      <c r="C16" s="73">
        <f t="shared" si="1"/>
        <v>45010</v>
      </c>
      <c r="D16" s="33">
        <v>44.82</v>
      </c>
      <c r="E16" s="33">
        <v>32.9</v>
      </c>
      <c r="F16" s="33">
        <v>46</v>
      </c>
      <c r="G16" s="33">
        <v>18.459999999999997</v>
      </c>
      <c r="H16" s="33">
        <v>191</v>
      </c>
      <c r="I16" s="33">
        <f t="shared" si="2"/>
        <v>44.82</v>
      </c>
      <c r="J16" s="33">
        <f>IF(E16&gt;T$5,T$5,E16)</f>
        <v>32.9</v>
      </c>
      <c r="K16" s="33">
        <f t="shared" si="3"/>
        <v>46</v>
      </c>
      <c r="L16" s="33">
        <f t="shared" si="4"/>
        <v>18.459999999999997</v>
      </c>
      <c r="M16" s="33">
        <f t="shared" si="5"/>
        <v>191</v>
      </c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ht="15.75" customHeight="1" x14ac:dyDescent="0.5">
      <c r="A17" s="31">
        <v>16</v>
      </c>
      <c r="B17" s="31">
        <f t="shared" si="0"/>
        <v>7</v>
      </c>
      <c r="C17" s="73">
        <f t="shared" si="1"/>
        <v>45011</v>
      </c>
      <c r="D17" s="33">
        <v>42.08</v>
      </c>
      <c r="E17" s="33">
        <v>47.7</v>
      </c>
      <c r="F17" s="33">
        <v>52.9</v>
      </c>
      <c r="G17" s="33">
        <v>22.23</v>
      </c>
      <c r="H17" s="33">
        <v>240</v>
      </c>
      <c r="I17" s="33">
        <f t="shared" si="2"/>
        <v>42.08</v>
      </c>
      <c r="J17" s="33">
        <f>IF(E17&gt;T$5,T$5,E17)</f>
        <v>47.7</v>
      </c>
      <c r="K17" s="33">
        <f t="shared" si="3"/>
        <v>52.9</v>
      </c>
      <c r="L17" s="33">
        <f t="shared" si="4"/>
        <v>22.23</v>
      </c>
      <c r="M17" s="33">
        <f t="shared" si="5"/>
        <v>240</v>
      </c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ht="15.75" customHeight="1" x14ac:dyDescent="0.5">
      <c r="A18" s="31">
        <v>17</v>
      </c>
      <c r="B18" s="31">
        <f t="shared" si="0"/>
        <v>1</v>
      </c>
      <c r="C18" s="73">
        <f t="shared" si="1"/>
        <v>45012</v>
      </c>
      <c r="D18" s="33">
        <v>89.06</v>
      </c>
      <c r="E18" s="33">
        <v>36.6</v>
      </c>
      <c r="F18" s="33">
        <v>93.625</v>
      </c>
      <c r="G18" s="33">
        <v>23.379999999999995</v>
      </c>
      <c r="H18" s="33">
        <v>135</v>
      </c>
      <c r="I18" s="33">
        <f t="shared" si="2"/>
        <v>89.06</v>
      </c>
      <c r="J18" s="33">
        <f>IF(E18&gt;T$5,T$5,E18)</f>
        <v>36.6</v>
      </c>
      <c r="K18" s="33">
        <f t="shared" si="3"/>
        <v>93.625</v>
      </c>
      <c r="L18" s="33">
        <f t="shared" si="4"/>
        <v>23.379999999999995</v>
      </c>
      <c r="M18" s="33">
        <f t="shared" si="5"/>
        <v>135</v>
      </c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ht="15.75" customHeight="1" x14ac:dyDescent="0.5">
      <c r="A19" s="31">
        <v>18</v>
      </c>
      <c r="B19" s="31">
        <f t="shared" si="0"/>
        <v>2</v>
      </c>
      <c r="C19" s="73">
        <f t="shared" si="1"/>
        <v>45013</v>
      </c>
      <c r="D19" s="33">
        <v>62.279999999999994</v>
      </c>
      <c r="E19" s="33">
        <v>39.6</v>
      </c>
      <c r="F19" s="33">
        <v>55.8</v>
      </c>
      <c r="G19" s="33">
        <v>25.619999999999997</v>
      </c>
      <c r="H19" s="33">
        <v>258</v>
      </c>
      <c r="I19" s="33">
        <f t="shared" si="2"/>
        <v>62.279999999999994</v>
      </c>
      <c r="J19" s="33">
        <f>IF(E19&gt;T$5,T$5,E19)</f>
        <v>39.6</v>
      </c>
      <c r="K19" s="33">
        <f t="shared" si="3"/>
        <v>55.8</v>
      </c>
      <c r="L19" s="33">
        <f t="shared" si="4"/>
        <v>25.619999999999997</v>
      </c>
      <c r="M19" s="33">
        <f t="shared" si="5"/>
        <v>258</v>
      </c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ht="15.75" customHeight="1" x14ac:dyDescent="0.5">
      <c r="A20" s="31">
        <v>19</v>
      </c>
      <c r="B20" s="31">
        <f t="shared" si="0"/>
        <v>3</v>
      </c>
      <c r="C20" s="73">
        <f t="shared" si="1"/>
        <v>45014</v>
      </c>
      <c r="D20" s="33">
        <v>14.84</v>
      </c>
      <c r="E20" s="33">
        <v>20.5</v>
      </c>
      <c r="F20" s="33">
        <v>18.3</v>
      </c>
      <c r="G20" s="33">
        <v>9.8500000000000014</v>
      </c>
      <c r="H20" s="33">
        <v>127</v>
      </c>
      <c r="I20" s="33">
        <f t="shared" si="2"/>
        <v>14.84</v>
      </c>
      <c r="J20" s="33">
        <f>IF(E20&gt;T$5,T$5,E20)</f>
        <v>20.5</v>
      </c>
      <c r="K20" s="33">
        <f t="shared" si="3"/>
        <v>18.3</v>
      </c>
      <c r="L20" s="33">
        <f t="shared" si="4"/>
        <v>9.8500000000000014</v>
      </c>
      <c r="M20" s="33">
        <f t="shared" si="5"/>
        <v>127</v>
      </c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ht="15.75" customHeight="1" x14ac:dyDescent="0.5">
      <c r="A21" s="31">
        <v>20</v>
      </c>
      <c r="B21" s="31">
        <f t="shared" si="0"/>
        <v>4</v>
      </c>
      <c r="C21" s="73">
        <f t="shared" si="1"/>
        <v>45015</v>
      </c>
      <c r="D21" s="33">
        <v>32.46</v>
      </c>
      <c r="E21" s="33">
        <v>23.9</v>
      </c>
      <c r="F21" s="33">
        <v>19.100000000000001</v>
      </c>
      <c r="G21" s="33">
        <v>19.04</v>
      </c>
      <c r="H21" s="33">
        <v>148</v>
      </c>
      <c r="I21" s="33">
        <f t="shared" si="2"/>
        <v>32.46</v>
      </c>
      <c r="J21" s="33">
        <f>IF(E21&gt;T$5,T$5,E21)</f>
        <v>23.9</v>
      </c>
      <c r="K21" s="33">
        <f t="shared" si="3"/>
        <v>19.100000000000001</v>
      </c>
      <c r="L21" s="33">
        <f t="shared" si="4"/>
        <v>19.04</v>
      </c>
      <c r="M21" s="33">
        <f t="shared" si="5"/>
        <v>148</v>
      </c>
      <c r="N21" s="4"/>
      <c r="O21" s="4"/>
      <c r="P21" s="4"/>
      <c r="Q21" s="4"/>
      <c r="R21" s="4"/>
      <c r="S21" s="4"/>
      <c r="T21" s="4"/>
      <c r="U21" s="4"/>
      <c r="V21" s="4"/>
      <c r="W21" s="4"/>
    </row>
    <row r="22" spans="1:23" ht="15.75" customHeight="1" x14ac:dyDescent="0.5">
      <c r="A22" s="31">
        <v>21</v>
      </c>
      <c r="B22" s="31">
        <f t="shared" si="0"/>
        <v>5</v>
      </c>
      <c r="C22" s="73">
        <f t="shared" si="1"/>
        <v>45016</v>
      </c>
      <c r="D22" s="33">
        <v>46.68</v>
      </c>
      <c r="E22" s="33">
        <v>27.7</v>
      </c>
      <c r="F22" s="33">
        <v>53.4</v>
      </c>
      <c r="G22" s="33">
        <v>14.329999999999998</v>
      </c>
      <c r="H22" s="33">
        <v>188</v>
      </c>
      <c r="I22" s="33">
        <f t="shared" si="2"/>
        <v>46.68</v>
      </c>
      <c r="J22" s="33">
        <f>IF(E22&gt;T$5,T$5,E22)</f>
        <v>27.7</v>
      </c>
      <c r="K22" s="33">
        <f t="shared" si="3"/>
        <v>53.4</v>
      </c>
      <c r="L22" s="33">
        <f t="shared" si="4"/>
        <v>14.329999999999998</v>
      </c>
      <c r="M22" s="33">
        <f t="shared" si="5"/>
        <v>188</v>
      </c>
      <c r="N22" s="4"/>
      <c r="O22" s="4"/>
      <c r="P22" s="4"/>
      <c r="Q22" s="4"/>
      <c r="R22" s="4"/>
      <c r="S22" s="4"/>
      <c r="T22" s="4"/>
      <c r="U22" s="4"/>
      <c r="V22" s="4"/>
      <c r="W22" s="4"/>
    </row>
    <row r="23" spans="1:23" ht="15.75" customHeight="1" x14ac:dyDescent="0.5">
      <c r="A23" s="31">
        <v>22</v>
      </c>
      <c r="B23" s="31">
        <f t="shared" si="0"/>
        <v>6</v>
      </c>
      <c r="C23" s="73">
        <f t="shared" si="1"/>
        <v>45017</v>
      </c>
      <c r="D23" s="33">
        <v>48.480000000000004</v>
      </c>
      <c r="E23" s="33">
        <v>123</v>
      </c>
      <c r="F23" s="33">
        <v>23.5</v>
      </c>
      <c r="G23" s="33">
        <v>16.89</v>
      </c>
      <c r="H23" s="33">
        <v>127</v>
      </c>
      <c r="I23" s="33">
        <f t="shared" si="2"/>
        <v>48.480000000000004</v>
      </c>
      <c r="J23" s="33">
        <f>IF(E23&gt;T$5,T$5,E23)</f>
        <v>76.949999999999989</v>
      </c>
      <c r="K23" s="33">
        <f t="shared" si="3"/>
        <v>23.5</v>
      </c>
      <c r="L23" s="33">
        <f t="shared" si="4"/>
        <v>16.89</v>
      </c>
      <c r="M23" s="33">
        <f t="shared" si="5"/>
        <v>127</v>
      </c>
      <c r="N23" s="4"/>
      <c r="O23" s="4"/>
      <c r="P23" s="4"/>
      <c r="Q23" s="4"/>
      <c r="R23" s="4"/>
      <c r="S23" s="4"/>
      <c r="T23" s="4"/>
      <c r="U23" s="4"/>
      <c r="V23" s="4"/>
      <c r="W23" s="4"/>
    </row>
    <row r="24" spans="1:23" ht="15.75" customHeight="1" x14ac:dyDescent="0.5">
      <c r="A24" s="31">
        <v>23</v>
      </c>
      <c r="B24" s="31">
        <f t="shared" si="0"/>
        <v>7</v>
      </c>
      <c r="C24" s="73">
        <f t="shared" si="1"/>
        <v>45018</v>
      </c>
      <c r="D24" s="33">
        <v>11.64</v>
      </c>
      <c r="E24" s="33">
        <v>15.9</v>
      </c>
      <c r="F24" s="33">
        <v>49.6</v>
      </c>
      <c r="G24" s="33">
        <v>9.4299999999999962</v>
      </c>
      <c r="H24" s="33">
        <v>170.89285714285714</v>
      </c>
      <c r="I24" s="33">
        <f t="shared" si="2"/>
        <v>11.64</v>
      </c>
      <c r="J24" s="33">
        <f>IF(E24&gt;T$5,T$5,E24)</f>
        <v>15.9</v>
      </c>
      <c r="K24" s="33">
        <f t="shared" si="3"/>
        <v>49.6</v>
      </c>
      <c r="L24" s="33">
        <f t="shared" si="4"/>
        <v>9.4299999999999962</v>
      </c>
      <c r="M24" s="33">
        <f t="shared" si="5"/>
        <v>170.89285714285714</v>
      </c>
      <c r="N24" s="4"/>
      <c r="O24" s="4"/>
      <c r="P24" s="4"/>
      <c r="Q24" s="4"/>
      <c r="R24" s="4"/>
      <c r="S24" s="4"/>
      <c r="T24" s="4"/>
      <c r="U24" s="4"/>
      <c r="V24" s="4"/>
      <c r="W24" s="4"/>
    </row>
    <row r="25" spans="1:23" ht="15.75" customHeight="1" x14ac:dyDescent="0.5">
      <c r="A25" s="31">
        <v>24</v>
      </c>
      <c r="B25" s="31">
        <f t="shared" si="0"/>
        <v>1</v>
      </c>
      <c r="C25" s="73">
        <f t="shared" si="1"/>
        <v>45019</v>
      </c>
      <c r="D25" s="33">
        <v>49.660000000000004</v>
      </c>
      <c r="E25" s="33">
        <v>16.899999999999999</v>
      </c>
      <c r="F25" s="33">
        <v>26.2</v>
      </c>
      <c r="G25" s="33">
        <v>20.8</v>
      </c>
      <c r="H25" s="33">
        <v>175</v>
      </c>
      <c r="I25" s="33">
        <f t="shared" si="2"/>
        <v>49.660000000000004</v>
      </c>
      <c r="J25" s="33">
        <f>IF(E25&gt;T$5,T$5,E25)</f>
        <v>16.899999999999999</v>
      </c>
      <c r="K25" s="33">
        <f t="shared" si="3"/>
        <v>26.2</v>
      </c>
      <c r="L25" s="33">
        <f t="shared" si="4"/>
        <v>20.8</v>
      </c>
      <c r="M25" s="33">
        <f t="shared" si="5"/>
        <v>175</v>
      </c>
      <c r="N25" s="4"/>
      <c r="O25" s="4"/>
      <c r="P25" s="4"/>
      <c r="Q25" s="4"/>
      <c r="R25" s="4"/>
      <c r="S25" s="4"/>
      <c r="T25" s="4"/>
      <c r="U25" s="4"/>
      <c r="V25" s="4"/>
      <c r="W25" s="4"/>
    </row>
    <row r="26" spans="1:23" ht="15.75" customHeight="1" x14ac:dyDescent="0.5">
      <c r="A26" s="31">
        <v>25</v>
      </c>
      <c r="B26" s="31">
        <f t="shared" si="0"/>
        <v>2</v>
      </c>
      <c r="C26" s="73">
        <f t="shared" si="1"/>
        <v>45020</v>
      </c>
      <c r="D26" s="33">
        <v>20.46</v>
      </c>
      <c r="E26" s="33">
        <v>12.6</v>
      </c>
      <c r="F26" s="33">
        <v>18.3</v>
      </c>
      <c r="G26" s="33">
        <v>5.2099999999999991</v>
      </c>
      <c r="H26" s="33">
        <v>110</v>
      </c>
      <c r="I26" s="33">
        <f t="shared" si="2"/>
        <v>20.46</v>
      </c>
      <c r="J26" s="33">
        <f>IF(E26&gt;T$5,T$5,E26)</f>
        <v>12.6</v>
      </c>
      <c r="K26" s="33">
        <f t="shared" si="3"/>
        <v>18.3</v>
      </c>
      <c r="L26" s="33">
        <f t="shared" si="4"/>
        <v>5.2099999999999991</v>
      </c>
      <c r="M26" s="33">
        <f t="shared" si="5"/>
        <v>110</v>
      </c>
      <c r="N26" s="4"/>
      <c r="O26" s="4"/>
      <c r="P26" s="4"/>
      <c r="Q26" s="4"/>
      <c r="R26" s="4"/>
      <c r="S26" s="4"/>
      <c r="T26" s="4"/>
      <c r="U26" s="4"/>
      <c r="V26" s="4"/>
      <c r="W26" s="4"/>
    </row>
    <row r="27" spans="1:23" ht="15.75" customHeight="1" x14ac:dyDescent="0.5">
      <c r="A27" s="31">
        <v>26</v>
      </c>
      <c r="B27" s="31">
        <f t="shared" si="0"/>
        <v>3</v>
      </c>
      <c r="C27" s="73">
        <f t="shared" si="1"/>
        <v>45021</v>
      </c>
      <c r="D27" s="33">
        <v>59.58</v>
      </c>
      <c r="E27" s="33">
        <v>3.5</v>
      </c>
      <c r="F27" s="33">
        <v>19.5</v>
      </c>
      <c r="G27" s="33">
        <v>20.239999999999998</v>
      </c>
      <c r="H27" s="33">
        <v>139</v>
      </c>
      <c r="I27" s="33">
        <f t="shared" si="2"/>
        <v>59.58</v>
      </c>
      <c r="J27" s="33">
        <f>IF(E27&gt;T$5,T$5,E27)</f>
        <v>3.5</v>
      </c>
      <c r="K27" s="33">
        <f t="shared" si="3"/>
        <v>19.5</v>
      </c>
      <c r="L27" s="33">
        <f t="shared" si="4"/>
        <v>20.239999999999998</v>
      </c>
      <c r="M27" s="33">
        <f t="shared" si="5"/>
        <v>139</v>
      </c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ht="15.75" customHeight="1" x14ac:dyDescent="0.5">
      <c r="A28" s="31">
        <v>27</v>
      </c>
      <c r="B28" s="31">
        <f t="shared" si="0"/>
        <v>4</v>
      </c>
      <c r="C28" s="73">
        <f t="shared" si="1"/>
        <v>45022</v>
      </c>
      <c r="D28" s="33">
        <v>38.58</v>
      </c>
      <c r="E28" s="33">
        <v>29.3</v>
      </c>
      <c r="F28" s="33">
        <v>12.6</v>
      </c>
      <c r="G28" s="33">
        <v>23.900000000000002</v>
      </c>
      <c r="H28" s="33">
        <v>167</v>
      </c>
      <c r="I28" s="33">
        <f t="shared" si="2"/>
        <v>38.58</v>
      </c>
      <c r="J28" s="33">
        <f>IF(E28&gt;T$5,T$5,E28)</f>
        <v>29.3</v>
      </c>
      <c r="K28" s="33">
        <f t="shared" si="3"/>
        <v>12.6</v>
      </c>
      <c r="L28" s="33">
        <f t="shared" si="4"/>
        <v>23.900000000000002</v>
      </c>
      <c r="M28" s="33">
        <f t="shared" si="5"/>
        <v>167</v>
      </c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ht="15.75" customHeight="1" x14ac:dyDescent="0.5">
      <c r="A29" s="31">
        <v>28</v>
      </c>
      <c r="B29" s="31">
        <f t="shared" si="0"/>
        <v>5</v>
      </c>
      <c r="C29" s="73">
        <f t="shared" si="1"/>
        <v>45023</v>
      </c>
      <c r="D29" s="33">
        <v>49.019999999999996</v>
      </c>
      <c r="E29" s="33">
        <v>16.7</v>
      </c>
      <c r="F29" s="33">
        <v>22.9</v>
      </c>
      <c r="G29" s="33">
        <v>23.2</v>
      </c>
      <c r="H29" s="33">
        <v>168</v>
      </c>
      <c r="I29" s="33">
        <f t="shared" si="2"/>
        <v>49.019999999999996</v>
      </c>
      <c r="J29" s="33">
        <f>IF(E29&gt;T$5,T$5,E29)</f>
        <v>16.7</v>
      </c>
      <c r="K29" s="33">
        <f t="shared" si="3"/>
        <v>22.9</v>
      </c>
      <c r="L29" s="33">
        <f t="shared" si="4"/>
        <v>23.2</v>
      </c>
      <c r="M29" s="33">
        <f t="shared" si="5"/>
        <v>168</v>
      </c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23" ht="15.75" customHeight="1" x14ac:dyDescent="0.5">
      <c r="A30" s="31">
        <v>29</v>
      </c>
      <c r="B30" s="31">
        <f t="shared" si="0"/>
        <v>6</v>
      </c>
      <c r="C30" s="73">
        <f t="shared" si="1"/>
        <v>45024</v>
      </c>
      <c r="D30" s="33">
        <v>52.760000000000005</v>
      </c>
      <c r="E30" s="33">
        <v>27.1</v>
      </c>
      <c r="F30" s="33">
        <v>22.9</v>
      </c>
      <c r="G30" s="33">
        <v>29.270000000000007</v>
      </c>
      <c r="H30" s="33">
        <v>199</v>
      </c>
      <c r="I30" s="33">
        <f t="shared" si="2"/>
        <v>52.760000000000005</v>
      </c>
      <c r="J30" s="33">
        <f>IF(E30&gt;T$5,T$5,E30)</f>
        <v>27.1</v>
      </c>
      <c r="K30" s="33">
        <f t="shared" si="3"/>
        <v>22.9</v>
      </c>
      <c r="L30" s="33">
        <f t="shared" si="4"/>
        <v>29.270000000000007</v>
      </c>
      <c r="M30" s="33">
        <f t="shared" si="5"/>
        <v>199</v>
      </c>
      <c r="N30" s="4"/>
      <c r="O30" s="4"/>
      <c r="P30" s="4"/>
      <c r="Q30" s="4"/>
      <c r="R30" s="4"/>
      <c r="S30" s="4"/>
      <c r="T30" s="4"/>
      <c r="U30" s="4"/>
      <c r="V30" s="4"/>
      <c r="W30" s="4"/>
    </row>
    <row r="31" spans="1:23" ht="15.75" customHeight="1" x14ac:dyDescent="0.5">
      <c r="A31" s="31">
        <v>30</v>
      </c>
      <c r="B31" s="31">
        <f t="shared" si="0"/>
        <v>7</v>
      </c>
      <c r="C31" s="73">
        <f t="shared" si="1"/>
        <v>45025</v>
      </c>
      <c r="D31" s="33">
        <v>15.12</v>
      </c>
      <c r="E31" s="33">
        <v>16</v>
      </c>
      <c r="F31" s="33">
        <v>40.799999999999997</v>
      </c>
      <c r="G31" s="33">
        <v>18.739999999999998</v>
      </c>
      <c r="H31" s="33">
        <v>123</v>
      </c>
      <c r="I31" s="33">
        <f t="shared" si="2"/>
        <v>15.12</v>
      </c>
      <c r="J31" s="33">
        <f>IF(E31&gt;T$5,T$5,E31)</f>
        <v>16</v>
      </c>
      <c r="K31" s="33">
        <f t="shared" si="3"/>
        <v>40.799999999999997</v>
      </c>
      <c r="L31" s="33">
        <f t="shared" si="4"/>
        <v>18.739999999999998</v>
      </c>
      <c r="M31" s="33">
        <f t="shared" si="5"/>
        <v>123</v>
      </c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3" ht="15.75" customHeight="1" x14ac:dyDescent="0.5">
      <c r="A32" s="31">
        <v>31</v>
      </c>
      <c r="B32" s="31">
        <f t="shared" si="0"/>
        <v>1</v>
      </c>
      <c r="C32" s="73">
        <f t="shared" si="1"/>
        <v>45026</v>
      </c>
      <c r="D32" s="33">
        <v>59.58</v>
      </c>
      <c r="E32" s="33">
        <v>28.3</v>
      </c>
      <c r="F32" s="33">
        <v>43.2</v>
      </c>
      <c r="G32" s="33">
        <v>26.159999999999997</v>
      </c>
      <c r="H32" s="33">
        <v>231</v>
      </c>
      <c r="I32" s="33">
        <f t="shared" si="2"/>
        <v>59.58</v>
      </c>
      <c r="J32" s="33">
        <f>IF(E32&gt;T$5,T$5,E32)</f>
        <v>28.3</v>
      </c>
      <c r="K32" s="33">
        <f t="shared" si="3"/>
        <v>43.2</v>
      </c>
      <c r="L32" s="33">
        <f t="shared" si="4"/>
        <v>26.159999999999997</v>
      </c>
      <c r="M32" s="33">
        <f t="shared" si="5"/>
        <v>231</v>
      </c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1:23" ht="15.75" customHeight="1" x14ac:dyDescent="0.5">
      <c r="A33" s="31">
        <v>32</v>
      </c>
      <c r="B33" s="31">
        <f t="shared" si="0"/>
        <v>2</v>
      </c>
      <c r="C33" s="73">
        <f t="shared" si="1"/>
        <v>45027</v>
      </c>
      <c r="D33" s="33">
        <v>92.987500000000011</v>
      </c>
      <c r="E33" s="33">
        <v>17.399999999999999</v>
      </c>
      <c r="F33" s="33">
        <v>38.6</v>
      </c>
      <c r="G33" s="33">
        <v>37.253750000000011</v>
      </c>
      <c r="H33" s="33">
        <v>126</v>
      </c>
      <c r="I33" s="33">
        <f t="shared" si="2"/>
        <v>92.987500000000011</v>
      </c>
      <c r="J33" s="33">
        <f>IF(E33&gt;T$5,T$5,E33)</f>
        <v>17.399999999999999</v>
      </c>
      <c r="K33" s="33">
        <f t="shared" si="3"/>
        <v>38.6</v>
      </c>
      <c r="L33" s="33">
        <f t="shared" si="4"/>
        <v>37.253750000000011</v>
      </c>
      <c r="M33" s="33">
        <f t="shared" si="5"/>
        <v>126</v>
      </c>
      <c r="N33" s="4"/>
      <c r="O33" s="4"/>
      <c r="P33" s="4"/>
      <c r="Q33" s="4"/>
      <c r="R33" s="4"/>
      <c r="S33" s="4"/>
      <c r="T33" s="4"/>
      <c r="U33" s="4"/>
      <c r="V33" s="4"/>
      <c r="W33" s="4"/>
    </row>
    <row r="34" spans="1:23" ht="15.75" customHeight="1" x14ac:dyDescent="0.5">
      <c r="A34" s="31">
        <v>33</v>
      </c>
      <c r="B34" s="31">
        <f t="shared" ref="B34:B65" si="9">WEEKDAY(C34,2)</f>
        <v>3</v>
      </c>
      <c r="C34" s="73">
        <f t="shared" ref="C34:C65" si="10">+C35-1</f>
        <v>45028</v>
      </c>
      <c r="D34" s="33">
        <v>20.440000000000001</v>
      </c>
      <c r="E34" s="33">
        <v>1.5</v>
      </c>
      <c r="F34" s="33">
        <v>30</v>
      </c>
      <c r="G34" s="33">
        <v>18.47</v>
      </c>
      <c r="H34" s="33">
        <v>112</v>
      </c>
      <c r="I34" s="33">
        <f t="shared" si="2"/>
        <v>20.440000000000001</v>
      </c>
      <c r="J34" s="33">
        <f>IF(E34&gt;T$5,T$5,E34)</f>
        <v>1.5</v>
      </c>
      <c r="K34" s="33">
        <f t="shared" si="3"/>
        <v>30</v>
      </c>
      <c r="L34" s="33">
        <f t="shared" si="4"/>
        <v>18.47</v>
      </c>
      <c r="M34" s="33">
        <f t="shared" si="5"/>
        <v>112</v>
      </c>
      <c r="N34" s="4"/>
      <c r="O34" s="4"/>
      <c r="P34" s="4"/>
      <c r="Q34" s="4"/>
      <c r="R34" s="4"/>
      <c r="S34" s="4"/>
      <c r="T34" s="4"/>
      <c r="U34" s="4"/>
      <c r="V34" s="4"/>
      <c r="W34" s="4"/>
    </row>
    <row r="35" spans="1:23" ht="15.75" customHeight="1" x14ac:dyDescent="0.5">
      <c r="A35" s="31">
        <v>34</v>
      </c>
      <c r="B35" s="31">
        <f t="shared" si="9"/>
        <v>4</v>
      </c>
      <c r="C35" s="73">
        <f t="shared" si="10"/>
        <v>45029</v>
      </c>
      <c r="D35" s="33">
        <v>61.120000000000005</v>
      </c>
      <c r="E35" s="33">
        <v>20</v>
      </c>
      <c r="F35" s="33">
        <v>0.3</v>
      </c>
      <c r="G35" s="33">
        <v>36.440000000000005</v>
      </c>
      <c r="H35" s="33">
        <v>184</v>
      </c>
      <c r="I35" s="33">
        <f t="shared" si="2"/>
        <v>61.120000000000005</v>
      </c>
      <c r="J35" s="33">
        <f>IF(E35&gt;T$5,T$5,E35)</f>
        <v>20</v>
      </c>
      <c r="K35" s="33">
        <f t="shared" si="3"/>
        <v>0.3</v>
      </c>
      <c r="L35" s="33">
        <f t="shared" si="4"/>
        <v>36.440000000000005</v>
      </c>
      <c r="M35" s="33">
        <f t="shared" si="5"/>
        <v>184</v>
      </c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ht="15.75" customHeight="1" x14ac:dyDescent="0.5">
      <c r="A36" s="31">
        <v>35</v>
      </c>
      <c r="B36" s="31">
        <f t="shared" si="9"/>
        <v>5</v>
      </c>
      <c r="C36" s="73">
        <f t="shared" si="10"/>
        <v>45030</v>
      </c>
      <c r="D36" s="33">
        <v>24.14</v>
      </c>
      <c r="E36" s="33">
        <v>1.4</v>
      </c>
      <c r="F36" s="33">
        <v>7.4</v>
      </c>
      <c r="G36" s="33">
        <v>7.3099999999999987</v>
      </c>
      <c r="H36" s="33">
        <v>91.5</v>
      </c>
      <c r="I36" s="33">
        <f t="shared" si="2"/>
        <v>24.14</v>
      </c>
      <c r="J36" s="33">
        <f>IF(E36&gt;T$5,T$5,E36)</f>
        <v>1.4</v>
      </c>
      <c r="K36" s="33">
        <f t="shared" si="3"/>
        <v>7.4</v>
      </c>
      <c r="L36" s="33">
        <f t="shared" si="4"/>
        <v>7.3099999999999987</v>
      </c>
      <c r="M36" s="33">
        <f t="shared" si="5"/>
        <v>91.5</v>
      </c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ht="15.75" customHeight="1" x14ac:dyDescent="0.5">
      <c r="A37" s="31">
        <v>36</v>
      </c>
      <c r="B37" s="31">
        <f t="shared" si="9"/>
        <v>6</v>
      </c>
      <c r="C37" s="73">
        <f t="shared" si="10"/>
        <v>45031</v>
      </c>
      <c r="D37" s="33">
        <v>62.14</v>
      </c>
      <c r="E37" s="33">
        <v>4.0999999999999996</v>
      </c>
      <c r="F37" s="33">
        <v>8.5</v>
      </c>
      <c r="G37" s="33">
        <v>27.72</v>
      </c>
      <c r="H37" s="33">
        <v>129</v>
      </c>
      <c r="I37" s="33">
        <f t="shared" si="2"/>
        <v>62.14</v>
      </c>
      <c r="J37" s="33">
        <f>IF(E37&gt;T$5,T$5,E37)</f>
        <v>4.0999999999999996</v>
      </c>
      <c r="K37" s="33">
        <f t="shared" si="3"/>
        <v>8.5</v>
      </c>
      <c r="L37" s="33">
        <f t="shared" si="4"/>
        <v>27.72</v>
      </c>
      <c r="M37" s="33">
        <f t="shared" si="5"/>
        <v>129</v>
      </c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ht="15.75" customHeight="1" x14ac:dyDescent="0.5">
      <c r="A38" s="31">
        <v>37</v>
      </c>
      <c r="B38" s="31">
        <f t="shared" si="9"/>
        <v>7</v>
      </c>
      <c r="C38" s="73">
        <f t="shared" si="10"/>
        <v>45032</v>
      </c>
      <c r="D38" s="33">
        <v>56.379999999999995</v>
      </c>
      <c r="E38" s="33">
        <v>43.8</v>
      </c>
      <c r="F38" s="33">
        <v>5</v>
      </c>
      <c r="G38" s="33">
        <v>46.589999999999996</v>
      </c>
      <c r="H38" s="33">
        <v>256</v>
      </c>
      <c r="I38" s="33">
        <f t="shared" si="2"/>
        <v>56.379999999999995</v>
      </c>
      <c r="J38" s="33">
        <f>IF(E38&gt;T$5,T$5,E38)</f>
        <v>43.8</v>
      </c>
      <c r="K38" s="33">
        <f t="shared" si="3"/>
        <v>5</v>
      </c>
      <c r="L38" s="33">
        <f t="shared" si="4"/>
        <v>41.756249999999994</v>
      </c>
      <c r="M38" s="33">
        <f t="shared" si="5"/>
        <v>256</v>
      </c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ht="15.75" customHeight="1" x14ac:dyDescent="0.5">
      <c r="A39" s="31">
        <v>38</v>
      </c>
      <c r="B39" s="31">
        <f t="shared" si="9"/>
        <v>1</v>
      </c>
      <c r="C39" s="73">
        <f t="shared" si="10"/>
        <v>45033</v>
      </c>
      <c r="D39" s="33">
        <v>24.94</v>
      </c>
      <c r="E39" s="33">
        <v>49.4</v>
      </c>
      <c r="F39" s="33">
        <v>45.7</v>
      </c>
      <c r="G39" s="33">
        <v>13.89</v>
      </c>
      <c r="H39" s="33">
        <v>152</v>
      </c>
      <c r="I39" s="33">
        <f t="shared" si="2"/>
        <v>24.94</v>
      </c>
      <c r="J39" s="33">
        <f>IF(E39&gt;T$5,T$5,E39)</f>
        <v>49.4</v>
      </c>
      <c r="K39" s="33">
        <f t="shared" si="3"/>
        <v>45.7</v>
      </c>
      <c r="L39" s="33">
        <f t="shared" si="4"/>
        <v>13.89</v>
      </c>
      <c r="M39" s="33">
        <f t="shared" si="5"/>
        <v>152</v>
      </c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ht="15.75" customHeight="1" x14ac:dyDescent="0.5">
      <c r="A40" s="31">
        <v>39</v>
      </c>
      <c r="B40" s="31">
        <f t="shared" si="9"/>
        <v>2</v>
      </c>
      <c r="C40" s="73">
        <f t="shared" si="10"/>
        <v>45034</v>
      </c>
      <c r="D40" s="33">
        <v>14.620000000000001</v>
      </c>
      <c r="E40" s="33">
        <v>26.7</v>
      </c>
      <c r="F40" s="33">
        <v>35.1</v>
      </c>
      <c r="G40" s="33">
        <v>3.6199999999999992</v>
      </c>
      <c r="H40" s="33">
        <v>114</v>
      </c>
      <c r="I40" s="33">
        <f t="shared" si="2"/>
        <v>14.620000000000001</v>
      </c>
      <c r="J40" s="33">
        <f>IF(E40&gt;T$5,T$5,E40)</f>
        <v>26.7</v>
      </c>
      <c r="K40" s="33">
        <f t="shared" si="3"/>
        <v>35.1</v>
      </c>
      <c r="L40" s="33">
        <f t="shared" si="4"/>
        <v>3.6199999999999992</v>
      </c>
      <c r="M40" s="33">
        <f t="shared" si="5"/>
        <v>114</v>
      </c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ht="15.75" customHeight="1" x14ac:dyDescent="0.5">
      <c r="A41" s="31">
        <v>40</v>
      </c>
      <c r="B41" s="31">
        <f t="shared" si="9"/>
        <v>3</v>
      </c>
      <c r="C41" s="73">
        <f t="shared" si="10"/>
        <v>45035</v>
      </c>
      <c r="D41" s="33">
        <v>53.6</v>
      </c>
      <c r="E41" s="33">
        <v>37.700000000000003</v>
      </c>
      <c r="F41" s="33">
        <v>32</v>
      </c>
      <c r="G41" s="33">
        <v>28.850000000000005</v>
      </c>
      <c r="H41" s="33">
        <v>230</v>
      </c>
      <c r="I41" s="33">
        <f t="shared" si="2"/>
        <v>53.6</v>
      </c>
      <c r="J41" s="33">
        <f>IF(E41&gt;T$5,T$5,E41)</f>
        <v>37.700000000000003</v>
      </c>
      <c r="K41" s="33">
        <f t="shared" si="3"/>
        <v>32</v>
      </c>
      <c r="L41" s="33">
        <f t="shared" si="4"/>
        <v>28.850000000000005</v>
      </c>
      <c r="M41" s="33">
        <f t="shared" si="5"/>
        <v>230</v>
      </c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ht="15.75" customHeight="1" x14ac:dyDescent="0.5">
      <c r="A42" s="31">
        <v>41</v>
      </c>
      <c r="B42" s="31">
        <f t="shared" si="9"/>
        <v>4</v>
      </c>
      <c r="C42" s="73">
        <f t="shared" si="10"/>
        <v>45036</v>
      </c>
      <c r="D42" s="33">
        <v>45.5</v>
      </c>
      <c r="E42" s="33">
        <v>22.3</v>
      </c>
      <c r="F42" s="33">
        <v>31.6</v>
      </c>
      <c r="G42" s="33">
        <v>18.759999999999998</v>
      </c>
      <c r="H42" s="33">
        <v>179</v>
      </c>
      <c r="I42" s="33">
        <f t="shared" si="2"/>
        <v>45.5</v>
      </c>
      <c r="J42" s="33">
        <f>IF(E42&gt;T$5,T$5,E42)</f>
        <v>22.3</v>
      </c>
      <c r="K42" s="33">
        <f t="shared" si="3"/>
        <v>31.6</v>
      </c>
      <c r="L42" s="33">
        <f t="shared" si="4"/>
        <v>18.759999999999998</v>
      </c>
      <c r="M42" s="33">
        <f t="shared" si="5"/>
        <v>179</v>
      </c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ht="15.75" customHeight="1" x14ac:dyDescent="0.5">
      <c r="A43" s="31">
        <v>42</v>
      </c>
      <c r="B43" s="31">
        <f t="shared" si="9"/>
        <v>5</v>
      </c>
      <c r="C43" s="73">
        <f t="shared" si="10"/>
        <v>45037</v>
      </c>
      <c r="D43" s="33">
        <v>40.4</v>
      </c>
      <c r="E43" s="33">
        <v>33.4</v>
      </c>
      <c r="F43" s="33">
        <v>38.700000000000003</v>
      </c>
      <c r="G43" s="33">
        <v>18.919999999999995</v>
      </c>
      <c r="H43" s="33">
        <v>186</v>
      </c>
      <c r="I43" s="33">
        <f t="shared" si="2"/>
        <v>40.4</v>
      </c>
      <c r="J43" s="33">
        <f>IF(E43&gt;T$5,T$5,E43)</f>
        <v>33.4</v>
      </c>
      <c r="K43" s="33">
        <f t="shared" si="3"/>
        <v>38.700000000000003</v>
      </c>
      <c r="L43" s="33">
        <f t="shared" si="4"/>
        <v>18.919999999999995</v>
      </c>
      <c r="M43" s="33">
        <f t="shared" si="5"/>
        <v>186</v>
      </c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1:23" ht="15.75" customHeight="1" x14ac:dyDescent="0.5">
      <c r="A44" s="31">
        <v>43</v>
      </c>
      <c r="B44" s="31">
        <f t="shared" si="9"/>
        <v>6</v>
      </c>
      <c r="C44" s="73">
        <f t="shared" si="10"/>
        <v>45038</v>
      </c>
      <c r="D44" s="33">
        <v>67.72</v>
      </c>
      <c r="E44" s="33">
        <v>27.7</v>
      </c>
      <c r="F44" s="33">
        <v>1.8</v>
      </c>
      <c r="G44" s="33">
        <v>42.49</v>
      </c>
      <c r="H44" s="33">
        <v>226</v>
      </c>
      <c r="I44" s="33">
        <f t="shared" si="2"/>
        <v>67.72</v>
      </c>
      <c r="J44" s="33">
        <f>IF(E44&gt;T$5,T$5,E44)</f>
        <v>27.7</v>
      </c>
      <c r="K44" s="33">
        <f t="shared" si="3"/>
        <v>1.8</v>
      </c>
      <c r="L44" s="33">
        <f t="shared" si="4"/>
        <v>41.756249999999994</v>
      </c>
      <c r="M44" s="33">
        <f t="shared" si="5"/>
        <v>226</v>
      </c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1:23" ht="15.75" customHeight="1" x14ac:dyDescent="0.5">
      <c r="A45" s="31">
        <v>44</v>
      </c>
      <c r="B45" s="31">
        <f t="shared" si="9"/>
        <v>7</v>
      </c>
      <c r="C45" s="73">
        <f t="shared" si="10"/>
        <v>45039</v>
      </c>
      <c r="D45" s="33">
        <v>51.38</v>
      </c>
      <c r="E45" s="33">
        <v>8.4</v>
      </c>
      <c r="F45" s="33">
        <v>26.4</v>
      </c>
      <c r="G45" s="33">
        <v>14.33</v>
      </c>
      <c r="H45" s="33">
        <v>149</v>
      </c>
      <c r="I45" s="33">
        <f t="shared" si="2"/>
        <v>51.38</v>
      </c>
      <c r="J45" s="33">
        <f>IF(E45&gt;T$5,T$5,E45)</f>
        <v>8.4</v>
      </c>
      <c r="K45" s="33">
        <f t="shared" si="3"/>
        <v>26.4</v>
      </c>
      <c r="L45" s="33">
        <f t="shared" si="4"/>
        <v>14.33</v>
      </c>
      <c r="M45" s="33">
        <f t="shared" si="5"/>
        <v>149</v>
      </c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1:23" ht="15.75" customHeight="1" x14ac:dyDescent="0.5">
      <c r="A46" s="31">
        <v>45</v>
      </c>
      <c r="B46" s="31">
        <f t="shared" si="9"/>
        <v>1</v>
      </c>
      <c r="C46" s="73">
        <f t="shared" si="10"/>
        <v>45040</v>
      </c>
      <c r="D46" s="33">
        <v>12.02</v>
      </c>
      <c r="E46" s="33">
        <v>25.7</v>
      </c>
      <c r="F46" s="33">
        <v>43.3</v>
      </c>
      <c r="G46" s="33">
        <v>18.04</v>
      </c>
      <c r="H46" s="33">
        <v>89</v>
      </c>
      <c r="I46" s="33">
        <f t="shared" si="2"/>
        <v>12.02</v>
      </c>
      <c r="J46" s="33">
        <f>IF(E46&gt;T$5,T$5,E46)</f>
        <v>25.7</v>
      </c>
      <c r="K46" s="33">
        <f t="shared" si="3"/>
        <v>43.3</v>
      </c>
      <c r="L46" s="33">
        <f t="shared" si="4"/>
        <v>18.04</v>
      </c>
      <c r="M46" s="33">
        <f t="shared" si="5"/>
        <v>89</v>
      </c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1:23" ht="15.75" customHeight="1" x14ac:dyDescent="0.5">
      <c r="A47" s="31">
        <v>46</v>
      </c>
      <c r="B47" s="31">
        <f t="shared" si="9"/>
        <v>2</v>
      </c>
      <c r="C47" s="73">
        <f t="shared" si="10"/>
        <v>45041</v>
      </c>
      <c r="D47" s="33">
        <v>42.019999999999996</v>
      </c>
      <c r="E47" s="33">
        <v>22.5</v>
      </c>
      <c r="F47" s="33">
        <v>31.5</v>
      </c>
      <c r="G47" s="33">
        <v>16.159999999999997</v>
      </c>
      <c r="H47" s="33">
        <v>165</v>
      </c>
      <c r="I47" s="33">
        <f t="shared" si="2"/>
        <v>42.019999999999996</v>
      </c>
      <c r="J47" s="33">
        <f>IF(E47&gt;T$5,T$5,E47)</f>
        <v>22.5</v>
      </c>
      <c r="K47" s="33">
        <f t="shared" si="3"/>
        <v>31.5</v>
      </c>
      <c r="L47" s="33">
        <f t="shared" si="4"/>
        <v>16.159999999999997</v>
      </c>
      <c r="M47" s="33">
        <f t="shared" si="5"/>
        <v>165</v>
      </c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1:23" ht="15.75" customHeight="1" x14ac:dyDescent="0.5">
      <c r="A48" s="31">
        <v>47</v>
      </c>
      <c r="B48" s="31">
        <f t="shared" si="9"/>
        <v>3</v>
      </c>
      <c r="C48" s="73">
        <f t="shared" si="10"/>
        <v>45042</v>
      </c>
      <c r="D48" s="33">
        <v>18.940000000000001</v>
      </c>
      <c r="E48" s="33">
        <v>9.9</v>
      </c>
      <c r="F48" s="33">
        <v>35.700000000000003</v>
      </c>
      <c r="G48" s="33">
        <v>19.64</v>
      </c>
      <c r="H48" s="33">
        <v>119</v>
      </c>
      <c r="I48" s="33">
        <f t="shared" si="2"/>
        <v>18.940000000000001</v>
      </c>
      <c r="J48" s="33">
        <f>IF(E48&gt;T$5,T$5,E48)</f>
        <v>9.9</v>
      </c>
      <c r="K48" s="33">
        <f t="shared" si="3"/>
        <v>35.700000000000003</v>
      </c>
      <c r="L48" s="33">
        <f t="shared" si="4"/>
        <v>19.64</v>
      </c>
      <c r="M48" s="33">
        <f t="shared" si="5"/>
        <v>119</v>
      </c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1:23" ht="15.75" customHeight="1" x14ac:dyDescent="0.5">
      <c r="A49" s="31">
        <v>48</v>
      </c>
      <c r="B49" s="31">
        <f t="shared" si="9"/>
        <v>4</v>
      </c>
      <c r="C49" s="73">
        <f t="shared" si="10"/>
        <v>45043</v>
      </c>
      <c r="D49" s="33">
        <v>52.980000000000004</v>
      </c>
      <c r="E49" s="33">
        <v>41.5</v>
      </c>
      <c r="F49" s="33">
        <v>18.5</v>
      </c>
      <c r="G49" s="33">
        <v>37.340000000000003</v>
      </c>
      <c r="H49" s="33">
        <v>245</v>
      </c>
      <c r="I49" s="33">
        <f t="shared" si="2"/>
        <v>52.980000000000004</v>
      </c>
      <c r="J49" s="33">
        <f>IF(E49&gt;T$5,T$5,E49)</f>
        <v>41.5</v>
      </c>
      <c r="K49" s="33">
        <f t="shared" si="3"/>
        <v>18.5</v>
      </c>
      <c r="L49" s="33">
        <f t="shared" si="4"/>
        <v>37.340000000000003</v>
      </c>
      <c r="M49" s="33">
        <f t="shared" si="5"/>
        <v>245</v>
      </c>
      <c r="N49" s="4"/>
      <c r="O49" s="4"/>
      <c r="P49" s="4"/>
      <c r="Q49" s="4"/>
      <c r="R49" s="4"/>
      <c r="S49" s="4"/>
      <c r="T49" s="4"/>
      <c r="U49" s="4"/>
      <c r="V49" s="4"/>
      <c r="W49" s="4"/>
    </row>
    <row r="50" spans="1:23" ht="15.75" customHeight="1" x14ac:dyDescent="0.5">
      <c r="A50" s="31">
        <v>49</v>
      </c>
      <c r="B50" s="31">
        <f t="shared" si="9"/>
        <v>5</v>
      </c>
      <c r="C50" s="73">
        <f t="shared" si="10"/>
        <v>45044</v>
      </c>
      <c r="D50" s="33">
        <v>46.44</v>
      </c>
      <c r="E50" s="33">
        <v>15.8</v>
      </c>
      <c r="F50" s="33">
        <v>49.9</v>
      </c>
      <c r="G50" s="33">
        <v>10.659999999999997</v>
      </c>
      <c r="H50" s="33">
        <v>149</v>
      </c>
      <c r="I50" s="33">
        <f t="shared" si="2"/>
        <v>46.44</v>
      </c>
      <c r="J50" s="33">
        <f>IF(E50&gt;T$5,T$5,E50)</f>
        <v>15.8</v>
      </c>
      <c r="K50" s="33">
        <f t="shared" si="3"/>
        <v>49.9</v>
      </c>
      <c r="L50" s="33">
        <f t="shared" si="4"/>
        <v>10.659999999999997</v>
      </c>
      <c r="M50" s="33">
        <f t="shared" si="5"/>
        <v>149</v>
      </c>
      <c r="N50" s="4"/>
      <c r="O50" s="4"/>
      <c r="P50" s="4"/>
      <c r="Q50" s="4"/>
      <c r="R50" s="4"/>
      <c r="S50" s="4"/>
      <c r="T50" s="4"/>
      <c r="U50" s="4"/>
      <c r="V50" s="4"/>
      <c r="W50" s="4"/>
    </row>
    <row r="51" spans="1:23" ht="15.75" customHeight="1" x14ac:dyDescent="0.5">
      <c r="A51" s="31">
        <v>50</v>
      </c>
      <c r="B51" s="31">
        <f t="shared" si="9"/>
        <v>6</v>
      </c>
      <c r="C51" s="73">
        <f t="shared" si="10"/>
        <v>45045</v>
      </c>
      <c r="D51" s="33">
        <v>14.38</v>
      </c>
      <c r="E51" s="33">
        <v>11.7</v>
      </c>
      <c r="F51" s="33">
        <v>36.799999999999997</v>
      </c>
      <c r="G51" s="33">
        <v>17.82</v>
      </c>
      <c r="H51" s="33">
        <v>111</v>
      </c>
      <c r="I51" s="33">
        <f t="shared" si="2"/>
        <v>14.38</v>
      </c>
      <c r="J51" s="33">
        <f>IF(E51&gt;T$5,T$5,E51)</f>
        <v>11.7</v>
      </c>
      <c r="K51" s="33">
        <f t="shared" si="3"/>
        <v>36.799999999999997</v>
      </c>
      <c r="L51" s="33">
        <f t="shared" si="4"/>
        <v>17.82</v>
      </c>
      <c r="M51" s="33">
        <f t="shared" si="5"/>
        <v>111</v>
      </c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ht="15.75" customHeight="1" x14ac:dyDescent="0.5">
      <c r="A52" s="31">
        <v>51</v>
      </c>
      <c r="B52" s="31">
        <f t="shared" si="9"/>
        <v>7</v>
      </c>
      <c r="C52" s="73">
        <f t="shared" si="10"/>
        <v>45046</v>
      </c>
      <c r="D52" s="33">
        <v>43.96</v>
      </c>
      <c r="E52" s="33">
        <v>3.1</v>
      </c>
      <c r="F52" s="33">
        <v>34.6</v>
      </c>
      <c r="G52" s="33">
        <v>7.6899999999999995</v>
      </c>
      <c r="H52" s="33">
        <v>122</v>
      </c>
      <c r="I52" s="33">
        <f t="shared" si="2"/>
        <v>43.96</v>
      </c>
      <c r="J52" s="33">
        <f>IF(E52&gt;T$5,T$5,E52)</f>
        <v>3.1</v>
      </c>
      <c r="K52" s="33">
        <f t="shared" si="3"/>
        <v>34.6</v>
      </c>
      <c r="L52" s="33">
        <f t="shared" si="4"/>
        <v>7.6899999999999995</v>
      </c>
      <c r="M52" s="33">
        <f t="shared" si="5"/>
        <v>122</v>
      </c>
      <c r="N52" s="4"/>
      <c r="O52" s="4"/>
      <c r="P52" s="4"/>
      <c r="Q52" s="4"/>
      <c r="R52" s="4"/>
      <c r="S52" s="4"/>
      <c r="T52" s="4"/>
      <c r="U52" s="4"/>
      <c r="V52" s="4"/>
      <c r="W52" s="4"/>
    </row>
    <row r="53" spans="1:23" ht="15.75" customHeight="1" x14ac:dyDescent="0.5">
      <c r="A53" s="31">
        <v>52</v>
      </c>
      <c r="B53" s="31">
        <f t="shared" si="9"/>
        <v>1</v>
      </c>
      <c r="C53" s="73">
        <f t="shared" si="10"/>
        <v>45047</v>
      </c>
      <c r="D53" s="33">
        <v>29.080000000000002</v>
      </c>
      <c r="E53" s="33">
        <v>9.6</v>
      </c>
      <c r="F53" s="33">
        <v>3.6</v>
      </c>
      <c r="G53" s="33">
        <v>13.4</v>
      </c>
      <c r="H53" s="33">
        <v>112</v>
      </c>
      <c r="I53" s="33">
        <f t="shared" si="2"/>
        <v>29.080000000000002</v>
      </c>
      <c r="J53" s="33">
        <f>IF(E53&gt;T$5,T$5,E53)</f>
        <v>9.6</v>
      </c>
      <c r="K53" s="33">
        <f t="shared" si="3"/>
        <v>3.6</v>
      </c>
      <c r="L53" s="33">
        <f t="shared" si="4"/>
        <v>13.4</v>
      </c>
      <c r="M53" s="33">
        <f t="shared" si="5"/>
        <v>112</v>
      </c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1:23" ht="15.75" customHeight="1" x14ac:dyDescent="0.5">
      <c r="A54" s="31">
        <v>53</v>
      </c>
      <c r="B54" s="31">
        <f t="shared" si="9"/>
        <v>2</v>
      </c>
      <c r="C54" s="73">
        <f t="shared" si="10"/>
        <v>45048</v>
      </c>
      <c r="D54" s="33">
        <v>44.28</v>
      </c>
      <c r="E54" s="33">
        <v>41.7</v>
      </c>
      <c r="F54" s="33">
        <v>39.6</v>
      </c>
      <c r="G54" s="33">
        <v>26.65</v>
      </c>
      <c r="H54" s="33">
        <v>235</v>
      </c>
      <c r="I54" s="33">
        <f t="shared" si="2"/>
        <v>44.28</v>
      </c>
      <c r="J54" s="33">
        <f>IF(E54&gt;T$5,T$5,E54)</f>
        <v>41.7</v>
      </c>
      <c r="K54" s="33">
        <f t="shared" si="3"/>
        <v>39.6</v>
      </c>
      <c r="L54" s="33">
        <f t="shared" si="4"/>
        <v>26.65</v>
      </c>
      <c r="M54" s="33">
        <f t="shared" si="5"/>
        <v>235</v>
      </c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1:23" ht="15.75" customHeight="1" x14ac:dyDescent="0.5">
      <c r="A55" s="31">
        <v>54</v>
      </c>
      <c r="B55" s="31">
        <f t="shared" si="9"/>
        <v>3</v>
      </c>
      <c r="C55" s="73">
        <f t="shared" si="10"/>
        <v>45049</v>
      </c>
      <c r="D55" s="33">
        <v>41.519999999999996</v>
      </c>
      <c r="E55" s="33">
        <v>46.2</v>
      </c>
      <c r="F55" s="33">
        <v>58.7</v>
      </c>
      <c r="G55" s="33">
        <v>17.879999999999995</v>
      </c>
      <c r="H55" s="33">
        <v>225</v>
      </c>
      <c r="I55" s="33">
        <f t="shared" si="2"/>
        <v>41.519999999999996</v>
      </c>
      <c r="J55" s="33">
        <f>IF(E55&gt;T$5,T$5,E55)</f>
        <v>46.2</v>
      </c>
      <c r="K55" s="33">
        <f t="shared" si="3"/>
        <v>58.7</v>
      </c>
      <c r="L55" s="33">
        <f t="shared" si="4"/>
        <v>17.879999999999995</v>
      </c>
      <c r="M55" s="33">
        <f t="shared" si="5"/>
        <v>225</v>
      </c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 ht="15.75" customHeight="1" x14ac:dyDescent="0.5">
      <c r="A56" s="31">
        <v>55</v>
      </c>
      <c r="B56" s="31">
        <f t="shared" si="9"/>
        <v>4</v>
      </c>
      <c r="C56" s="73">
        <f t="shared" si="10"/>
        <v>45050</v>
      </c>
      <c r="D56" s="33">
        <v>62.54</v>
      </c>
      <c r="E56" s="33">
        <v>28.8</v>
      </c>
      <c r="F56" s="33">
        <v>15.9</v>
      </c>
      <c r="G56" s="33">
        <v>34.31</v>
      </c>
      <c r="H56" s="33">
        <v>220</v>
      </c>
      <c r="I56" s="33">
        <f t="shared" si="2"/>
        <v>62.54</v>
      </c>
      <c r="J56" s="33">
        <f>IF(E56&gt;T$5,T$5,E56)</f>
        <v>28.8</v>
      </c>
      <c r="K56" s="33">
        <f t="shared" si="3"/>
        <v>15.9</v>
      </c>
      <c r="L56" s="33">
        <f t="shared" si="4"/>
        <v>34.31</v>
      </c>
      <c r="M56" s="33">
        <f t="shared" si="5"/>
        <v>220</v>
      </c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 ht="15.75" customHeight="1" x14ac:dyDescent="0.5">
      <c r="A57" s="31">
        <v>56</v>
      </c>
      <c r="B57" s="31">
        <f t="shared" si="9"/>
        <v>5</v>
      </c>
      <c r="C57" s="73">
        <f t="shared" si="10"/>
        <v>45051</v>
      </c>
      <c r="D57" s="33">
        <v>40.78</v>
      </c>
      <c r="E57" s="33">
        <v>49.4</v>
      </c>
      <c r="F57" s="33">
        <v>60</v>
      </c>
      <c r="G57" s="33">
        <v>20.590000000000003</v>
      </c>
      <c r="H57" s="33">
        <v>240</v>
      </c>
      <c r="I57" s="33">
        <f t="shared" si="2"/>
        <v>40.78</v>
      </c>
      <c r="J57" s="33">
        <f>IF(E57&gt;T$5,T$5,E57)</f>
        <v>49.4</v>
      </c>
      <c r="K57" s="33">
        <f t="shared" si="3"/>
        <v>60</v>
      </c>
      <c r="L57" s="33">
        <f t="shared" si="4"/>
        <v>20.590000000000003</v>
      </c>
      <c r="M57" s="33">
        <f t="shared" si="5"/>
        <v>240</v>
      </c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1:23" ht="15.75" customHeight="1" x14ac:dyDescent="0.5">
      <c r="A58" s="31">
        <v>57</v>
      </c>
      <c r="B58" s="31">
        <f t="shared" si="9"/>
        <v>6</v>
      </c>
      <c r="C58" s="73">
        <f t="shared" si="10"/>
        <v>45052</v>
      </c>
      <c r="D58" s="33">
        <v>3.46</v>
      </c>
      <c r="E58" s="33">
        <v>28.1</v>
      </c>
      <c r="F58" s="33">
        <v>41.4</v>
      </c>
      <c r="G58" s="33">
        <v>18.220000000000002</v>
      </c>
      <c r="H58" s="33">
        <v>71</v>
      </c>
      <c r="I58" s="33">
        <f t="shared" si="2"/>
        <v>3.46</v>
      </c>
      <c r="J58" s="33">
        <f>IF(E58&gt;T$5,T$5,E58)</f>
        <v>28.1</v>
      </c>
      <c r="K58" s="33">
        <f t="shared" si="3"/>
        <v>41.4</v>
      </c>
      <c r="L58" s="33">
        <f t="shared" si="4"/>
        <v>18.220000000000002</v>
      </c>
      <c r="M58" s="33">
        <f t="shared" si="5"/>
        <v>71</v>
      </c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3" ht="15.75" customHeight="1" x14ac:dyDescent="0.5">
      <c r="A59" s="31">
        <v>58</v>
      </c>
      <c r="B59" s="31">
        <f t="shared" si="9"/>
        <v>7</v>
      </c>
      <c r="C59" s="73">
        <f t="shared" si="10"/>
        <v>45053</v>
      </c>
      <c r="D59" s="33">
        <v>33.239999999999995</v>
      </c>
      <c r="E59" s="33">
        <v>19.2</v>
      </c>
      <c r="F59" s="33">
        <v>16.600000000000001</v>
      </c>
      <c r="G59" s="33">
        <v>16.579999999999998</v>
      </c>
      <c r="H59" s="33">
        <v>133</v>
      </c>
      <c r="I59" s="33">
        <f t="shared" si="2"/>
        <v>33.239999999999995</v>
      </c>
      <c r="J59" s="33">
        <f>IF(E59&gt;T$5,T$5,E59)</f>
        <v>19.2</v>
      </c>
      <c r="K59" s="33">
        <f t="shared" si="3"/>
        <v>16.600000000000001</v>
      </c>
      <c r="L59" s="33">
        <f t="shared" si="4"/>
        <v>16.579999999999998</v>
      </c>
      <c r="M59" s="33">
        <f t="shared" si="5"/>
        <v>133</v>
      </c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3" ht="15.75" customHeight="1" x14ac:dyDescent="0.5">
      <c r="A60" s="31">
        <v>59</v>
      </c>
      <c r="B60" s="31">
        <f t="shared" si="9"/>
        <v>1</v>
      </c>
      <c r="C60" s="73">
        <f t="shared" si="10"/>
        <v>45054</v>
      </c>
      <c r="D60" s="33">
        <v>49.160000000000004</v>
      </c>
      <c r="E60" s="33">
        <v>49.6</v>
      </c>
      <c r="F60" s="33">
        <v>37.700000000000003</v>
      </c>
      <c r="G60" s="33">
        <v>30.8</v>
      </c>
      <c r="H60" s="33">
        <v>239</v>
      </c>
      <c r="I60" s="33">
        <f t="shared" si="2"/>
        <v>49.160000000000004</v>
      </c>
      <c r="J60" s="33">
        <f>IF(E60&gt;T$5,T$5,E60)</f>
        <v>49.6</v>
      </c>
      <c r="K60" s="33">
        <f t="shared" si="3"/>
        <v>37.700000000000003</v>
      </c>
      <c r="L60" s="33">
        <f t="shared" si="4"/>
        <v>30.8</v>
      </c>
      <c r="M60" s="33">
        <f t="shared" si="5"/>
        <v>239</v>
      </c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3" ht="15.75" customHeight="1" x14ac:dyDescent="0.5">
      <c r="A61" s="31">
        <v>60</v>
      </c>
      <c r="B61" s="31">
        <f t="shared" si="9"/>
        <v>2</v>
      </c>
      <c r="C61" s="73">
        <f t="shared" si="10"/>
        <v>45055</v>
      </c>
      <c r="D61" s="33">
        <v>50.14</v>
      </c>
      <c r="E61" s="33">
        <v>29.5</v>
      </c>
      <c r="F61" s="33">
        <v>9.3000000000000007</v>
      </c>
      <c r="G61" s="33">
        <v>32.1</v>
      </c>
      <c r="H61" s="33">
        <v>186</v>
      </c>
      <c r="I61" s="33">
        <f t="shared" si="2"/>
        <v>50.14</v>
      </c>
      <c r="J61" s="33">
        <f>IF(E61&gt;T$5,T$5,E61)</f>
        <v>29.5</v>
      </c>
      <c r="K61" s="33">
        <f t="shared" si="3"/>
        <v>9.3000000000000007</v>
      </c>
      <c r="L61" s="33">
        <f t="shared" si="4"/>
        <v>32.1</v>
      </c>
      <c r="M61" s="33">
        <f t="shared" si="5"/>
        <v>186</v>
      </c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3" ht="15.75" customHeight="1" x14ac:dyDescent="0.5">
      <c r="A62" s="31">
        <v>61</v>
      </c>
      <c r="B62" s="31">
        <f t="shared" si="9"/>
        <v>3</v>
      </c>
      <c r="C62" s="73">
        <f t="shared" si="10"/>
        <v>45056</v>
      </c>
      <c r="D62" s="33">
        <v>16.7</v>
      </c>
      <c r="E62" s="33">
        <v>2</v>
      </c>
      <c r="F62" s="33">
        <v>21.4</v>
      </c>
      <c r="G62" s="33">
        <v>17.79</v>
      </c>
      <c r="H62" s="33">
        <v>83</v>
      </c>
      <c r="I62" s="33">
        <f t="shared" si="2"/>
        <v>16.7</v>
      </c>
      <c r="J62" s="33">
        <f>IF(E62&gt;T$5,T$5,E62)</f>
        <v>2</v>
      </c>
      <c r="K62" s="33">
        <f t="shared" si="3"/>
        <v>21.4</v>
      </c>
      <c r="L62" s="33">
        <f t="shared" si="4"/>
        <v>17.79</v>
      </c>
      <c r="M62" s="33">
        <f t="shared" si="5"/>
        <v>83</v>
      </c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3" ht="15.75" customHeight="1" x14ac:dyDescent="0.5">
      <c r="A63" s="31">
        <v>62</v>
      </c>
      <c r="B63" s="31">
        <f t="shared" si="9"/>
        <v>4</v>
      </c>
      <c r="C63" s="73">
        <f t="shared" si="10"/>
        <v>45057</v>
      </c>
      <c r="D63" s="33">
        <v>61.260000000000005</v>
      </c>
      <c r="E63" s="33">
        <v>42.7</v>
      </c>
      <c r="F63" s="33">
        <v>54.7</v>
      </c>
      <c r="G63" s="33">
        <v>25.6</v>
      </c>
      <c r="H63" s="33">
        <v>240</v>
      </c>
      <c r="I63" s="33">
        <f t="shared" si="2"/>
        <v>61.260000000000005</v>
      </c>
      <c r="J63" s="33">
        <f>IF(E63&gt;T$5,T$5,E63)</f>
        <v>42.7</v>
      </c>
      <c r="K63" s="33">
        <f t="shared" si="3"/>
        <v>54.7</v>
      </c>
      <c r="L63" s="33">
        <f t="shared" si="4"/>
        <v>25.6</v>
      </c>
      <c r="M63" s="33">
        <f t="shared" si="5"/>
        <v>240</v>
      </c>
      <c r="N63" s="4"/>
      <c r="O63" s="4"/>
      <c r="P63" s="4"/>
      <c r="Q63" s="4"/>
      <c r="R63" s="4"/>
      <c r="S63" s="4"/>
      <c r="T63" s="4"/>
      <c r="U63" s="4"/>
      <c r="V63" s="4"/>
      <c r="W63" s="4"/>
    </row>
    <row r="64" spans="1:23" ht="15.75" customHeight="1" x14ac:dyDescent="0.5">
      <c r="A64" s="31">
        <v>63</v>
      </c>
      <c r="B64" s="31">
        <f t="shared" si="9"/>
        <v>5</v>
      </c>
      <c r="C64" s="73">
        <f t="shared" si="10"/>
        <v>45058</v>
      </c>
      <c r="D64" s="33">
        <v>53.86</v>
      </c>
      <c r="E64" s="33">
        <v>15.5</v>
      </c>
      <c r="F64" s="33">
        <v>27.3</v>
      </c>
      <c r="G64" s="33">
        <v>20.759999999999998</v>
      </c>
      <c r="H64" s="33">
        <v>170</v>
      </c>
      <c r="I64" s="33">
        <f t="shared" si="2"/>
        <v>53.86</v>
      </c>
      <c r="J64" s="33">
        <f>IF(E64&gt;T$5,T$5,E64)</f>
        <v>15.5</v>
      </c>
      <c r="K64" s="33">
        <f t="shared" si="3"/>
        <v>27.3</v>
      </c>
      <c r="L64" s="33">
        <f t="shared" si="4"/>
        <v>20.759999999999998</v>
      </c>
      <c r="M64" s="33">
        <f t="shared" si="5"/>
        <v>170</v>
      </c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3" ht="15.75" customHeight="1" x14ac:dyDescent="0.5">
      <c r="A65" s="31">
        <v>64</v>
      </c>
      <c r="B65" s="31">
        <f t="shared" si="9"/>
        <v>6</v>
      </c>
      <c r="C65" s="73">
        <f t="shared" si="10"/>
        <v>45059</v>
      </c>
      <c r="D65" s="33">
        <v>27.54</v>
      </c>
      <c r="E65" s="33">
        <v>29.6</v>
      </c>
      <c r="F65" s="33">
        <v>8.4</v>
      </c>
      <c r="G65" s="33">
        <v>21.71</v>
      </c>
      <c r="H65" s="33">
        <v>298.75</v>
      </c>
      <c r="I65" s="33">
        <f t="shared" si="2"/>
        <v>27.54</v>
      </c>
      <c r="J65" s="33">
        <f>IF(E65&gt;T$5,T$5,E65)</f>
        <v>29.6</v>
      </c>
      <c r="K65" s="33">
        <f t="shared" si="3"/>
        <v>8.4</v>
      </c>
      <c r="L65" s="33">
        <f t="shared" si="4"/>
        <v>21.71</v>
      </c>
      <c r="M65" s="33">
        <f t="shared" si="5"/>
        <v>291.75</v>
      </c>
      <c r="N65" s="4"/>
      <c r="O65" s="4"/>
      <c r="P65" s="4"/>
      <c r="Q65" s="4"/>
      <c r="R65" s="4"/>
      <c r="S65" s="4"/>
      <c r="T65" s="4"/>
      <c r="U65" s="4"/>
      <c r="V65" s="4"/>
      <c r="W65" s="4"/>
    </row>
    <row r="66" spans="1:23" ht="15.75" customHeight="1" x14ac:dyDescent="0.5">
      <c r="A66" s="31">
        <v>65</v>
      </c>
      <c r="B66" s="31">
        <f t="shared" ref="B66:B97" si="11">WEEKDAY(C66,2)</f>
        <v>7</v>
      </c>
      <c r="C66" s="73">
        <f t="shared" ref="C66:C97" si="12">+C67-1</f>
        <v>45060</v>
      </c>
      <c r="D66" s="33">
        <v>27.22</v>
      </c>
      <c r="E66" s="33">
        <v>42.8</v>
      </c>
      <c r="F66" s="33">
        <v>28.9</v>
      </c>
      <c r="G66" s="33">
        <v>22.949999999999996</v>
      </c>
      <c r="H66" s="33">
        <v>187</v>
      </c>
      <c r="I66" s="33">
        <f t="shared" si="2"/>
        <v>27.22</v>
      </c>
      <c r="J66" s="33">
        <f>IF(E66&gt;T$5,T$5,E66)</f>
        <v>42.8</v>
      </c>
      <c r="K66" s="33">
        <f t="shared" si="3"/>
        <v>28.9</v>
      </c>
      <c r="L66" s="33">
        <f t="shared" si="4"/>
        <v>22.949999999999996</v>
      </c>
      <c r="M66" s="33">
        <f t="shared" si="5"/>
        <v>187</v>
      </c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3" ht="15.75" customHeight="1" x14ac:dyDescent="0.5">
      <c r="A67" s="31">
        <v>66</v>
      </c>
      <c r="B67" s="31">
        <f t="shared" si="11"/>
        <v>1</v>
      </c>
      <c r="C67" s="73">
        <f t="shared" si="12"/>
        <v>45061</v>
      </c>
      <c r="D67" s="33">
        <v>21.8</v>
      </c>
      <c r="E67" s="33">
        <v>9.3000000000000007</v>
      </c>
      <c r="F67" s="33">
        <v>0.9</v>
      </c>
      <c r="G67" s="33">
        <v>11.190000000000001</v>
      </c>
      <c r="H67" s="33">
        <v>109</v>
      </c>
      <c r="I67" s="33">
        <f t="shared" ref="I67:I130" si="13">IF(D67&gt;T$4,T$4,D67)</f>
        <v>21.8</v>
      </c>
      <c r="J67" s="33">
        <f t="shared" ref="J67:J130" si="14">IF(E67&gt;T$5,T$5,E67)</f>
        <v>9.3000000000000007</v>
      </c>
      <c r="K67" s="33">
        <f t="shared" ref="K67:K130" si="15">IF(F67&gt;T$6,T$6,F67)</f>
        <v>0.9</v>
      </c>
      <c r="L67" s="33">
        <f t="shared" ref="L67:L130" si="16">IF(G67&gt;T$7,T$7,G67)</f>
        <v>11.190000000000001</v>
      </c>
      <c r="M67" s="33">
        <f t="shared" ref="M67:M130" si="17">IF(H67&gt;T$8,T$8,H67)</f>
        <v>109</v>
      </c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ht="15.75" customHeight="1" x14ac:dyDescent="0.5">
      <c r="A68" s="31">
        <v>67</v>
      </c>
      <c r="B68" s="31">
        <f t="shared" si="11"/>
        <v>2</v>
      </c>
      <c r="C68" s="73">
        <f t="shared" si="12"/>
        <v>45062</v>
      </c>
      <c r="D68" s="33">
        <v>15.3</v>
      </c>
      <c r="E68" s="33">
        <v>24.6</v>
      </c>
      <c r="F68" s="33">
        <v>2.2000000000000002</v>
      </c>
      <c r="G68" s="33">
        <v>14.57</v>
      </c>
      <c r="H68" s="33">
        <v>104</v>
      </c>
      <c r="I68" s="33">
        <f t="shared" si="13"/>
        <v>15.3</v>
      </c>
      <c r="J68" s="33">
        <f t="shared" si="14"/>
        <v>24.6</v>
      </c>
      <c r="K68" s="33">
        <f t="shared" si="15"/>
        <v>2.2000000000000002</v>
      </c>
      <c r="L68" s="33">
        <f t="shared" si="16"/>
        <v>14.57</v>
      </c>
      <c r="M68" s="33">
        <f t="shared" si="17"/>
        <v>104</v>
      </c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3" ht="15.75" customHeight="1" x14ac:dyDescent="0.5">
      <c r="A69" s="31">
        <v>68</v>
      </c>
      <c r="B69" s="31">
        <f t="shared" si="11"/>
        <v>3</v>
      </c>
      <c r="C69" s="73">
        <f t="shared" si="12"/>
        <v>45063</v>
      </c>
      <c r="D69" s="33">
        <v>30.860000000000003</v>
      </c>
      <c r="E69" s="33">
        <v>14.5</v>
      </c>
      <c r="F69" s="33">
        <v>10.199999999999999</v>
      </c>
      <c r="G69" s="33">
        <v>17.100000000000001</v>
      </c>
      <c r="H69" s="33">
        <v>135</v>
      </c>
      <c r="I69" s="33">
        <f t="shared" si="13"/>
        <v>30.860000000000003</v>
      </c>
      <c r="J69" s="33">
        <f t="shared" si="14"/>
        <v>14.5</v>
      </c>
      <c r="K69" s="33">
        <f t="shared" si="15"/>
        <v>10.199999999999999</v>
      </c>
      <c r="L69" s="33">
        <f t="shared" si="16"/>
        <v>17.100000000000001</v>
      </c>
      <c r="M69" s="33">
        <f t="shared" si="17"/>
        <v>135</v>
      </c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3" ht="15.75" customHeight="1" x14ac:dyDescent="0.5">
      <c r="A70" s="31">
        <v>69</v>
      </c>
      <c r="B70" s="31">
        <f t="shared" si="11"/>
        <v>4</v>
      </c>
      <c r="C70" s="73">
        <f t="shared" si="12"/>
        <v>45064</v>
      </c>
      <c r="D70" s="33">
        <v>51.480000000000004</v>
      </c>
      <c r="E70" s="33">
        <v>27.5</v>
      </c>
      <c r="F70" s="33">
        <v>11</v>
      </c>
      <c r="G70" s="33">
        <v>33.090000000000003</v>
      </c>
      <c r="H70" s="33">
        <v>196</v>
      </c>
      <c r="I70" s="33">
        <f t="shared" si="13"/>
        <v>51.480000000000004</v>
      </c>
      <c r="J70" s="33">
        <f t="shared" si="14"/>
        <v>27.5</v>
      </c>
      <c r="K70" s="33">
        <f t="shared" si="15"/>
        <v>11</v>
      </c>
      <c r="L70" s="33">
        <f t="shared" si="16"/>
        <v>33.090000000000003</v>
      </c>
      <c r="M70" s="33">
        <f t="shared" si="17"/>
        <v>196</v>
      </c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3" ht="15.75" customHeight="1" x14ac:dyDescent="0.5">
      <c r="A71" s="31">
        <v>70</v>
      </c>
      <c r="B71" s="31">
        <f t="shared" si="11"/>
        <v>5</v>
      </c>
      <c r="C71" s="73">
        <f t="shared" si="12"/>
        <v>45065</v>
      </c>
      <c r="D71" s="33">
        <v>48.36</v>
      </c>
      <c r="E71" s="33">
        <v>43.9</v>
      </c>
      <c r="F71" s="33">
        <v>27.2</v>
      </c>
      <c r="G71" s="33">
        <v>32.749999999999993</v>
      </c>
      <c r="H71" s="33">
        <v>229</v>
      </c>
      <c r="I71" s="33">
        <f t="shared" si="13"/>
        <v>48.36</v>
      </c>
      <c r="J71" s="33">
        <f t="shared" si="14"/>
        <v>43.9</v>
      </c>
      <c r="K71" s="33">
        <f t="shared" si="15"/>
        <v>27.2</v>
      </c>
      <c r="L71" s="33">
        <f t="shared" si="16"/>
        <v>32.749999999999993</v>
      </c>
      <c r="M71" s="33">
        <f t="shared" si="17"/>
        <v>229</v>
      </c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pans="1:23" ht="15.75" customHeight="1" x14ac:dyDescent="0.5">
      <c r="A72" s="31">
        <v>71</v>
      </c>
      <c r="B72" s="31">
        <f t="shared" si="11"/>
        <v>6</v>
      </c>
      <c r="C72" s="73">
        <f t="shared" si="12"/>
        <v>45066</v>
      </c>
      <c r="D72" s="33">
        <v>44.82</v>
      </c>
      <c r="E72" s="33">
        <v>30.6</v>
      </c>
      <c r="F72" s="33">
        <v>38.700000000000003</v>
      </c>
      <c r="G72" s="33">
        <v>19.729999999999997</v>
      </c>
      <c r="H72" s="33">
        <v>196</v>
      </c>
      <c r="I72" s="33">
        <f t="shared" si="13"/>
        <v>44.82</v>
      </c>
      <c r="J72" s="33">
        <f t="shared" si="14"/>
        <v>30.6</v>
      </c>
      <c r="K72" s="33">
        <f t="shared" si="15"/>
        <v>38.700000000000003</v>
      </c>
      <c r="L72" s="33">
        <f t="shared" si="16"/>
        <v>19.729999999999997</v>
      </c>
      <c r="M72" s="33">
        <f t="shared" si="17"/>
        <v>196</v>
      </c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3" ht="15.75" customHeight="1" x14ac:dyDescent="0.5">
      <c r="A73" s="31">
        <v>72</v>
      </c>
      <c r="B73" s="31">
        <f t="shared" si="11"/>
        <v>7</v>
      </c>
      <c r="C73" s="73">
        <f t="shared" si="12"/>
        <v>45067</v>
      </c>
      <c r="D73" s="33">
        <v>29.96</v>
      </c>
      <c r="E73" s="33">
        <v>14.3</v>
      </c>
      <c r="F73" s="33">
        <v>31.7</v>
      </c>
      <c r="G73" s="33">
        <v>5.4500000000000028</v>
      </c>
      <c r="H73" s="33">
        <v>129</v>
      </c>
      <c r="I73" s="33">
        <f t="shared" si="13"/>
        <v>29.96</v>
      </c>
      <c r="J73" s="33">
        <f t="shared" si="14"/>
        <v>14.3</v>
      </c>
      <c r="K73" s="33">
        <f t="shared" si="15"/>
        <v>31.7</v>
      </c>
      <c r="L73" s="33">
        <f t="shared" si="16"/>
        <v>5.4500000000000028</v>
      </c>
      <c r="M73" s="33">
        <f t="shared" si="17"/>
        <v>129</v>
      </c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3" ht="15.75" customHeight="1" x14ac:dyDescent="0.5">
      <c r="A74" s="31">
        <v>73</v>
      </c>
      <c r="B74" s="31">
        <f t="shared" si="11"/>
        <v>1</v>
      </c>
      <c r="C74" s="73">
        <f t="shared" si="12"/>
        <v>45068</v>
      </c>
      <c r="D74" s="33">
        <v>15.36</v>
      </c>
      <c r="E74" s="33">
        <v>33</v>
      </c>
      <c r="F74" s="33">
        <v>19.3</v>
      </c>
      <c r="G74" s="33">
        <v>11.459999999999999</v>
      </c>
      <c r="H74" s="33">
        <v>106</v>
      </c>
      <c r="I74" s="33">
        <f t="shared" si="13"/>
        <v>15.36</v>
      </c>
      <c r="J74" s="33">
        <f t="shared" si="14"/>
        <v>33</v>
      </c>
      <c r="K74" s="33">
        <f t="shared" si="15"/>
        <v>19.3</v>
      </c>
      <c r="L74" s="33">
        <f t="shared" si="16"/>
        <v>11.459999999999999</v>
      </c>
      <c r="M74" s="33">
        <f t="shared" si="17"/>
        <v>106</v>
      </c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3" ht="15.75" customHeight="1" x14ac:dyDescent="0.5">
      <c r="A75" s="31">
        <v>74</v>
      </c>
      <c r="B75" s="31">
        <f t="shared" si="11"/>
        <v>2</v>
      </c>
      <c r="C75" s="73">
        <f t="shared" si="12"/>
        <v>45069</v>
      </c>
      <c r="D75" s="33">
        <v>28.880000000000003</v>
      </c>
      <c r="E75" s="33">
        <v>5.7</v>
      </c>
      <c r="F75" s="33">
        <v>31.3</v>
      </c>
      <c r="G75" s="33">
        <v>3.2699999999999996</v>
      </c>
      <c r="H75" s="33">
        <v>117</v>
      </c>
      <c r="I75" s="33">
        <f t="shared" si="13"/>
        <v>28.880000000000003</v>
      </c>
      <c r="J75" s="33">
        <f t="shared" si="14"/>
        <v>5.7</v>
      </c>
      <c r="K75" s="33">
        <f t="shared" si="15"/>
        <v>31.3</v>
      </c>
      <c r="L75" s="33">
        <f t="shared" si="16"/>
        <v>3.2699999999999996</v>
      </c>
      <c r="M75" s="33">
        <f t="shared" si="17"/>
        <v>117</v>
      </c>
      <c r="N75" s="4"/>
      <c r="O75" s="4"/>
      <c r="P75" s="4"/>
      <c r="Q75" s="4"/>
      <c r="R75" s="4"/>
      <c r="S75" s="4"/>
      <c r="T75" s="4"/>
      <c r="U75" s="4"/>
      <c r="V75" s="4"/>
      <c r="W75" s="4"/>
    </row>
    <row r="76" spans="1:23" ht="15.75" customHeight="1" x14ac:dyDescent="0.5">
      <c r="A76" s="31">
        <v>75</v>
      </c>
      <c r="B76" s="31">
        <f t="shared" si="11"/>
        <v>3</v>
      </c>
      <c r="C76" s="73">
        <f t="shared" si="12"/>
        <v>45070</v>
      </c>
      <c r="D76" s="33">
        <v>50.68</v>
      </c>
      <c r="E76" s="33">
        <v>0</v>
      </c>
      <c r="F76" s="33">
        <v>13.1</v>
      </c>
      <c r="G76" s="33">
        <v>28.4</v>
      </c>
      <c r="H76" s="33">
        <v>187</v>
      </c>
      <c r="I76" s="33">
        <f t="shared" si="13"/>
        <v>50.68</v>
      </c>
      <c r="J76" s="33">
        <f t="shared" si="14"/>
        <v>0</v>
      </c>
      <c r="K76" s="33">
        <f t="shared" si="15"/>
        <v>13.1</v>
      </c>
      <c r="L76" s="33">
        <f t="shared" si="16"/>
        <v>28.4</v>
      </c>
      <c r="M76" s="33">
        <f t="shared" si="17"/>
        <v>187</v>
      </c>
      <c r="N76" s="4"/>
      <c r="O76" s="4"/>
      <c r="P76" s="4"/>
      <c r="Q76" s="4"/>
      <c r="R76" s="4"/>
      <c r="S76" s="4"/>
      <c r="T76" s="4"/>
      <c r="U76" s="4"/>
      <c r="V76" s="4"/>
      <c r="W76" s="4"/>
    </row>
    <row r="77" spans="1:23" ht="15.75" customHeight="1" x14ac:dyDescent="0.5">
      <c r="A77" s="31">
        <v>76</v>
      </c>
      <c r="B77" s="31">
        <f t="shared" si="11"/>
        <v>4</v>
      </c>
      <c r="C77" s="73">
        <f t="shared" si="12"/>
        <v>45071</v>
      </c>
      <c r="D77" s="33">
        <v>12.379999999999999</v>
      </c>
      <c r="E77" s="33">
        <v>43.7</v>
      </c>
      <c r="F77" s="33">
        <v>89.4</v>
      </c>
      <c r="G77" s="33">
        <v>7.7799999999999976</v>
      </c>
      <c r="H77" s="33">
        <v>105</v>
      </c>
      <c r="I77" s="33">
        <f t="shared" si="13"/>
        <v>12.379999999999999</v>
      </c>
      <c r="J77" s="33">
        <f t="shared" si="14"/>
        <v>43.7</v>
      </c>
      <c r="K77" s="33">
        <f t="shared" si="15"/>
        <v>89.4</v>
      </c>
      <c r="L77" s="33">
        <f t="shared" si="16"/>
        <v>7.7799999999999976</v>
      </c>
      <c r="M77" s="33">
        <f t="shared" si="17"/>
        <v>105</v>
      </c>
      <c r="N77" s="4"/>
      <c r="O77" s="4"/>
      <c r="P77" s="4"/>
      <c r="Q77" s="4"/>
      <c r="R77" s="4"/>
      <c r="S77" s="4"/>
      <c r="T77" s="4"/>
      <c r="U77" s="4"/>
      <c r="V77" s="4"/>
      <c r="W77" s="4"/>
    </row>
    <row r="78" spans="1:23" ht="15.75" customHeight="1" x14ac:dyDescent="0.5">
      <c r="A78" s="31">
        <v>77</v>
      </c>
      <c r="B78" s="31">
        <f t="shared" si="11"/>
        <v>5</v>
      </c>
      <c r="C78" s="73">
        <f t="shared" si="12"/>
        <v>45072</v>
      </c>
      <c r="D78" s="33">
        <v>13.5</v>
      </c>
      <c r="E78" s="33">
        <v>1.6</v>
      </c>
      <c r="F78" s="33">
        <v>20.7</v>
      </c>
      <c r="G78" s="33">
        <v>15.27</v>
      </c>
      <c r="H78" s="33">
        <v>83</v>
      </c>
      <c r="I78" s="33">
        <f t="shared" si="13"/>
        <v>13.5</v>
      </c>
      <c r="J78" s="33">
        <f t="shared" si="14"/>
        <v>1.6</v>
      </c>
      <c r="K78" s="33">
        <f t="shared" si="15"/>
        <v>20.7</v>
      </c>
      <c r="L78" s="33">
        <f t="shared" si="16"/>
        <v>15.27</v>
      </c>
      <c r="M78" s="33">
        <f t="shared" si="17"/>
        <v>83</v>
      </c>
      <c r="N78" s="4"/>
      <c r="O78" s="4"/>
      <c r="P78" s="4"/>
      <c r="Q78" s="4"/>
      <c r="R78" s="4"/>
      <c r="S78" s="4"/>
      <c r="T78" s="4"/>
      <c r="U78" s="4"/>
      <c r="V78" s="4"/>
      <c r="W78" s="4"/>
    </row>
    <row r="79" spans="1:23" ht="15.75" customHeight="1" x14ac:dyDescent="0.5">
      <c r="A79" s="31">
        <v>78</v>
      </c>
      <c r="B79" s="31">
        <f t="shared" si="11"/>
        <v>6</v>
      </c>
      <c r="C79" s="73">
        <f t="shared" si="12"/>
        <v>45073</v>
      </c>
      <c r="D79" s="33">
        <v>25.1</v>
      </c>
      <c r="E79" s="33">
        <v>28.5</v>
      </c>
      <c r="F79" s="33">
        <v>14.2</v>
      </c>
      <c r="G79" s="33">
        <v>20.62</v>
      </c>
      <c r="H79" s="33">
        <v>149</v>
      </c>
      <c r="I79" s="33">
        <f t="shared" si="13"/>
        <v>25.1</v>
      </c>
      <c r="J79" s="33">
        <f t="shared" si="14"/>
        <v>28.5</v>
      </c>
      <c r="K79" s="33">
        <f t="shared" si="15"/>
        <v>14.2</v>
      </c>
      <c r="L79" s="33">
        <f t="shared" si="16"/>
        <v>20.62</v>
      </c>
      <c r="M79" s="33">
        <f t="shared" si="17"/>
        <v>149</v>
      </c>
      <c r="N79" s="4"/>
      <c r="O79" s="4"/>
      <c r="P79" s="4"/>
      <c r="Q79" s="4"/>
      <c r="R79" s="4"/>
      <c r="S79" s="4"/>
      <c r="T79" s="4"/>
      <c r="U79" s="4"/>
      <c r="V79" s="4"/>
      <c r="W79" s="4"/>
    </row>
    <row r="80" spans="1:23" ht="15.75" customHeight="1" x14ac:dyDescent="0.5">
      <c r="A80" s="31">
        <v>79</v>
      </c>
      <c r="B80" s="31">
        <f t="shared" si="11"/>
        <v>7</v>
      </c>
      <c r="C80" s="73">
        <f t="shared" si="12"/>
        <v>45074</v>
      </c>
      <c r="D80" s="33">
        <v>8.08</v>
      </c>
      <c r="E80" s="33">
        <v>29.9</v>
      </c>
      <c r="F80" s="33">
        <v>9.4</v>
      </c>
      <c r="G80" s="33">
        <v>11.729999999999999</v>
      </c>
      <c r="H80" s="33">
        <v>62</v>
      </c>
      <c r="I80" s="33">
        <f t="shared" si="13"/>
        <v>8.08</v>
      </c>
      <c r="J80" s="33">
        <f t="shared" si="14"/>
        <v>29.9</v>
      </c>
      <c r="K80" s="33">
        <f t="shared" si="15"/>
        <v>9.4</v>
      </c>
      <c r="L80" s="33">
        <f t="shared" si="16"/>
        <v>11.729999999999999</v>
      </c>
      <c r="M80" s="33">
        <f t="shared" si="17"/>
        <v>62</v>
      </c>
      <c r="N80" s="4"/>
      <c r="O80" s="4"/>
      <c r="P80" s="4"/>
      <c r="Q80" s="4"/>
      <c r="R80" s="4"/>
      <c r="S80" s="4"/>
      <c r="T80" s="4"/>
      <c r="U80" s="4"/>
      <c r="V80" s="4"/>
      <c r="W80" s="4"/>
    </row>
    <row r="81" spans="1:23" ht="15.75" customHeight="1" x14ac:dyDescent="0.5">
      <c r="A81" s="31">
        <v>80</v>
      </c>
      <c r="B81" s="31">
        <f t="shared" si="11"/>
        <v>1</v>
      </c>
      <c r="C81" s="73">
        <f t="shared" si="12"/>
        <v>45075</v>
      </c>
      <c r="D81" s="33">
        <v>31.2</v>
      </c>
      <c r="E81" s="33">
        <v>7.7</v>
      </c>
      <c r="F81" s="33">
        <v>23.1</v>
      </c>
      <c r="G81" s="33">
        <v>6.2099999999999991</v>
      </c>
      <c r="H81" s="33">
        <v>120</v>
      </c>
      <c r="I81" s="33">
        <f t="shared" si="13"/>
        <v>31.2</v>
      </c>
      <c r="J81" s="33">
        <f t="shared" si="14"/>
        <v>7.7</v>
      </c>
      <c r="K81" s="33">
        <f t="shared" si="15"/>
        <v>23.1</v>
      </c>
      <c r="L81" s="33">
        <f t="shared" si="16"/>
        <v>6.2099999999999991</v>
      </c>
      <c r="M81" s="33">
        <f t="shared" si="17"/>
        <v>120</v>
      </c>
      <c r="N81" s="4"/>
      <c r="O81" s="4"/>
      <c r="P81" s="4"/>
      <c r="Q81" s="4"/>
      <c r="R81" s="4"/>
      <c r="S81" s="4"/>
      <c r="T81" s="4"/>
      <c r="U81" s="4"/>
      <c r="V81" s="4"/>
      <c r="W81" s="4"/>
    </row>
    <row r="82" spans="1:23" ht="15.75" customHeight="1" x14ac:dyDescent="0.5">
      <c r="A82" s="31">
        <v>81</v>
      </c>
      <c r="B82" s="31">
        <f t="shared" si="11"/>
        <v>2</v>
      </c>
      <c r="C82" s="73">
        <f t="shared" si="12"/>
        <v>45076</v>
      </c>
      <c r="D82" s="33">
        <v>19.28</v>
      </c>
      <c r="E82" s="33">
        <v>26.7</v>
      </c>
      <c r="F82" s="33">
        <v>22.3</v>
      </c>
      <c r="G82" s="33">
        <v>12.070000000000002</v>
      </c>
      <c r="H82" s="33">
        <v>120</v>
      </c>
      <c r="I82" s="33">
        <f t="shared" si="13"/>
        <v>19.28</v>
      </c>
      <c r="J82" s="33">
        <f t="shared" si="14"/>
        <v>26.7</v>
      </c>
      <c r="K82" s="33">
        <f t="shared" si="15"/>
        <v>22.3</v>
      </c>
      <c r="L82" s="33">
        <f t="shared" si="16"/>
        <v>12.070000000000002</v>
      </c>
      <c r="M82" s="33">
        <f t="shared" si="17"/>
        <v>120</v>
      </c>
      <c r="N82" s="4"/>
      <c r="O82" s="4"/>
      <c r="P82" s="4"/>
      <c r="Q82" s="4"/>
      <c r="R82" s="4"/>
      <c r="S82" s="4"/>
      <c r="T82" s="4"/>
      <c r="U82" s="4"/>
      <c r="V82" s="4"/>
      <c r="W82" s="4"/>
    </row>
    <row r="83" spans="1:23" ht="15.75" customHeight="1" x14ac:dyDescent="0.5">
      <c r="A83" s="31">
        <v>82</v>
      </c>
      <c r="B83" s="31">
        <f t="shared" si="11"/>
        <v>3</v>
      </c>
      <c r="C83" s="73">
        <f t="shared" si="12"/>
        <v>45077</v>
      </c>
      <c r="D83" s="33">
        <v>151.96</v>
      </c>
      <c r="E83" s="33">
        <v>4.0999999999999996</v>
      </c>
      <c r="F83" s="33">
        <v>36.9</v>
      </c>
      <c r="G83" s="33">
        <v>11.270000000000001</v>
      </c>
      <c r="H83" s="33">
        <v>128</v>
      </c>
      <c r="I83" s="33">
        <f t="shared" si="13"/>
        <v>96.179999999999993</v>
      </c>
      <c r="J83" s="33">
        <f t="shared" si="14"/>
        <v>4.0999999999999996</v>
      </c>
      <c r="K83" s="33">
        <f t="shared" si="15"/>
        <v>36.9</v>
      </c>
      <c r="L83" s="33">
        <f t="shared" si="16"/>
        <v>11.270000000000001</v>
      </c>
      <c r="M83" s="33">
        <f t="shared" si="17"/>
        <v>128</v>
      </c>
      <c r="N83" s="4"/>
      <c r="O83" s="4"/>
      <c r="P83" s="4"/>
      <c r="Q83" s="4"/>
      <c r="R83" s="4"/>
      <c r="S83" s="4"/>
      <c r="T83" s="4"/>
      <c r="U83" s="4"/>
      <c r="V83" s="4"/>
      <c r="W83" s="4"/>
    </row>
    <row r="84" spans="1:23" ht="15.75" customHeight="1" x14ac:dyDescent="0.5">
      <c r="A84" s="31">
        <v>83</v>
      </c>
      <c r="B84" s="31">
        <f t="shared" si="11"/>
        <v>4</v>
      </c>
      <c r="C84" s="73">
        <f t="shared" si="12"/>
        <v>45078</v>
      </c>
      <c r="D84" s="33">
        <v>18.059999999999999</v>
      </c>
      <c r="E84" s="33">
        <v>20.3</v>
      </c>
      <c r="F84" s="33">
        <v>32.5</v>
      </c>
      <c r="G84" s="33">
        <v>4.68</v>
      </c>
      <c r="H84" s="33">
        <v>128</v>
      </c>
      <c r="I84" s="33">
        <f t="shared" si="13"/>
        <v>18.059999999999999</v>
      </c>
      <c r="J84" s="33">
        <f t="shared" si="14"/>
        <v>20.3</v>
      </c>
      <c r="K84" s="33">
        <f t="shared" si="15"/>
        <v>32.5</v>
      </c>
      <c r="L84" s="33">
        <f t="shared" si="16"/>
        <v>4.68</v>
      </c>
      <c r="M84" s="33">
        <f t="shared" si="17"/>
        <v>128</v>
      </c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1:23" ht="15.75" customHeight="1" x14ac:dyDescent="0.5">
      <c r="A85" s="31">
        <v>84</v>
      </c>
      <c r="B85" s="31">
        <f t="shared" si="11"/>
        <v>5</v>
      </c>
      <c r="C85" s="73">
        <f t="shared" si="12"/>
        <v>45079</v>
      </c>
      <c r="D85" s="33">
        <v>22.68</v>
      </c>
      <c r="E85" s="33">
        <v>44.5</v>
      </c>
      <c r="F85" s="33">
        <v>35.6</v>
      </c>
      <c r="G85" s="33">
        <v>14.849999999999998</v>
      </c>
      <c r="H85" s="33">
        <v>149</v>
      </c>
      <c r="I85" s="33">
        <f t="shared" si="13"/>
        <v>22.68</v>
      </c>
      <c r="J85" s="33">
        <f t="shared" si="14"/>
        <v>44.5</v>
      </c>
      <c r="K85" s="33">
        <f t="shared" si="15"/>
        <v>35.6</v>
      </c>
      <c r="L85" s="33">
        <f t="shared" si="16"/>
        <v>14.849999999999998</v>
      </c>
      <c r="M85" s="33">
        <f t="shared" si="17"/>
        <v>149</v>
      </c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1:23" ht="15.75" customHeight="1" x14ac:dyDescent="0.5">
      <c r="A86" s="31">
        <v>85</v>
      </c>
      <c r="B86" s="31">
        <f t="shared" si="11"/>
        <v>6</v>
      </c>
      <c r="C86" s="73">
        <f t="shared" si="12"/>
        <v>45080</v>
      </c>
      <c r="D86" s="33">
        <v>45.7</v>
      </c>
      <c r="E86" s="33">
        <v>43</v>
      </c>
      <c r="F86" s="33">
        <v>33.799999999999997</v>
      </c>
      <c r="G86" s="33">
        <v>29.330000000000002</v>
      </c>
      <c r="H86" s="33">
        <v>223</v>
      </c>
      <c r="I86" s="33">
        <f t="shared" si="13"/>
        <v>45.7</v>
      </c>
      <c r="J86" s="33">
        <f t="shared" si="14"/>
        <v>43</v>
      </c>
      <c r="K86" s="33">
        <f t="shared" si="15"/>
        <v>33.799999999999997</v>
      </c>
      <c r="L86" s="33">
        <f t="shared" si="16"/>
        <v>29.330000000000002</v>
      </c>
      <c r="M86" s="33">
        <f t="shared" si="17"/>
        <v>223</v>
      </c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1:23" ht="15.75" customHeight="1" x14ac:dyDescent="0.5">
      <c r="A87" s="31">
        <v>86</v>
      </c>
      <c r="B87" s="31">
        <f t="shared" si="11"/>
        <v>7</v>
      </c>
      <c r="C87" s="73">
        <f t="shared" si="12"/>
        <v>45081</v>
      </c>
      <c r="D87" s="33">
        <v>42.64</v>
      </c>
      <c r="E87" s="33">
        <v>18.399999999999999</v>
      </c>
      <c r="F87" s="33">
        <v>65.7</v>
      </c>
      <c r="G87" s="33">
        <v>2.2399999999999984</v>
      </c>
      <c r="H87" s="33">
        <v>159</v>
      </c>
      <c r="I87" s="33">
        <f t="shared" si="13"/>
        <v>42.64</v>
      </c>
      <c r="J87" s="33">
        <f t="shared" si="14"/>
        <v>18.399999999999999</v>
      </c>
      <c r="K87" s="33">
        <f t="shared" si="15"/>
        <v>65.7</v>
      </c>
      <c r="L87" s="33">
        <f t="shared" si="16"/>
        <v>2.2399999999999984</v>
      </c>
      <c r="M87" s="33">
        <f t="shared" si="17"/>
        <v>159</v>
      </c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23" ht="15.75" customHeight="1" x14ac:dyDescent="0.5">
      <c r="A88" s="31">
        <v>87</v>
      </c>
      <c r="B88" s="31">
        <f t="shared" si="11"/>
        <v>1</v>
      </c>
      <c r="C88" s="73">
        <f t="shared" si="12"/>
        <v>45082</v>
      </c>
      <c r="D88" s="33">
        <v>21.259999999999998</v>
      </c>
      <c r="E88" s="33">
        <v>27.5</v>
      </c>
      <c r="F88" s="33">
        <v>16</v>
      </c>
      <c r="G88" s="33">
        <v>14.979999999999999</v>
      </c>
      <c r="H88" s="33">
        <v>122</v>
      </c>
      <c r="I88" s="33">
        <f t="shared" si="13"/>
        <v>21.259999999999998</v>
      </c>
      <c r="J88" s="33">
        <f t="shared" si="14"/>
        <v>27.5</v>
      </c>
      <c r="K88" s="33">
        <f t="shared" si="15"/>
        <v>16</v>
      </c>
      <c r="L88" s="33">
        <f t="shared" si="16"/>
        <v>14.979999999999999</v>
      </c>
      <c r="M88" s="33">
        <f t="shared" si="17"/>
        <v>122</v>
      </c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23" ht="15.75" customHeight="1" x14ac:dyDescent="0.5">
      <c r="A89" s="31">
        <v>88</v>
      </c>
      <c r="B89" s="31">
        <f t="shared" si="11"/>
        <v>2</v>
      </c>
      <c r="C89" s="73">
        <f t="shared" si="12"/>
        <v>45083</v>
      </c>
      <c r="D89" s="33">
        <v>28.14</v>
      </c>
      <c r="E89" s="33">
        <v>40.6</v>
      </c>
      <c r="F89" s="33">
        <v>63.2</v>
      </c>
      <c r="G89" s="33">
        <v>6.09</v>
      </c>
      <c r="H89" s="33">
        <v>180</v>
      </c>
      <c r="I89" s="33">
        <f t="shared" si="13"/>
        <v>28.14</v>
      </c>
      <c r="J89" s="33">
        <f t="shared" si="14"/>
        <v>40.6</v>
      </c>
      <c r="K89" s="33">
        <f t="shared" si="15"/>
        <v>63.2</v>
      </c>
      <c r="L89" s="33">
        <f t="shared" si="16"/>
        <v>6.09</v>
      </c>
      <c r="M89" s="33">
        <f t="shared" si="17"/>
        <v>180</v>
      </c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23" ht="15.75" customHeight="1" x14ac:dyDescent="0.5">
      <c r="A90" s="31">
        <v>89</v>
      </c>
      <c r="B90" s="31">
        <f t="shared" si="11"/>
        <v>3</v>
      </c>
      <c r="C90" s="73">
        <f t="shared" si="12"/>
        <v>45084</v>
      </c>
      <c r="D90" s="33">
        <v>27.66</v>
      </c>
      <c r="E90" s="33">
        <v>225.5</v>
      </c>
      <c r="F90" s="33">
        <v>73.400000000000006</v>
      </c>
      <c r="G90" s="33">
        <v>12.219999999999995</v>
      </c>
      <c r="H90" s="33">
        <v>147</v>
      </c>
      <c r="I90" s="33">
        <f t="shared" si="13"/>
        <v>27.66</v>
      </c>
      <c r="J90" s="33">
        <f t="shared" si="14"/>
        <v>76.949999999999989</v>
      </c>
      <c r="K90" s="33">
        <f t="shared" si="15"/>
        <v>73.400000000000006</v>
      </c>
      <c r="L90" s="33">
        <f t="shared" si="16"/>
        <v>12.219999999999995</v>
      </c>
      <c r="M90" s="33">
        <f t="shared" si="17"/>
        <v>147</v>
      </c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23" ht="15.75" customHeight="1" x14ac:dyDescent="0.5">
      <c r="A91" s="31">
        <v>90</v>
      </c>
      <c r="B91" s="31">
        <f t="shared" si="11"/>
        <v>4</v>
      </c>
      <c r="C91" s="73">
        <f t="shared" si="12"/>
        <v>45085</v>
      </c>
      <c r="D91" s="33">
        <v>23.96</v>
      </c>
      <c r="E91" s="33">
        <v>47.8</v>
      </c>
      <c r="F91" s="33">
        <v>51.4</v>
      </c>
      <c r="G91" s="33">
        <v>14.319999999999993</v>
      </c>
      <c r="H91" s="33">
        <v>177</v>
      </c>
      <c r="I91" s="33">
        <f t="shared" si="13"/>
        <v>23.96</v>
      </c>
      <c r="J91" s="33">
        <f t="shared" si="14"/>
        <v>47.8</v>
      </c>
      <c r="K91" s="33">
        <f t="shared" si="15"/>
        <v>51.4</v>
      </c>
      <c r="L91" s="33">
        <f t="shared" si="16"/>
        <v>14.319999999999993</v>
      </c>
      <c r="M91" s="33">
        <f t="shared" si="17"/>
        <v>177</v>
      </c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23" ht="15.75" customHeight="1" x14ac:dyDescent="0.5">
      <c r="A92" s="31">
        <v>91</v>
      </c>
      <c r="B92" s="31">
        <f t="shared" si="11"/>
        <v>5</v>
      </c>
      <c r="C92" s="73">
        <f t="shared" si="12"/>
        <v>45086</v>
      </c>
      <c r="D92" s="33">
        <v>31.860000000000003</v>
      </c>
      <c r="E92" s="33">
        <v>4.9000000000000004</v>
      </c>
      <c r="F92" s="33">
        <v>9.3000000000000007</v>
      </c>
      <c r="G92" s="33">
        <v>12.160000000000002</v>
      </c>
      <c r="H92" s="33">
        <v>93</v>
      </c>
      <c r="I92" s="33">
        <f t="shared" si="13"/>
        <v>31.860000000000003</v>
      </c>
      <c r="J92" s="33">
        <f t="shared" si="14"/>
        <v>4.9000000000000004</v>
      </c>
      <c r="K92" s="33">
        <f t="shared" si="15"/>
        <v>9.3000000000000007</v>
      </c>
      <c r="L92" s="33">
        <f t="shared" si="16"/>
        <v>12.160000000000002</v>
      </c>
      <c r="M92" s="33">
        <f t="shared" si="17"/>
        <v>93</v>
      </c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23" ht="15.75" customHeight="1" x14ac:dyDescent="0.5">
      <c r="A93" s="31">
        <v>92</v>
      </c>
      <c r="B93" s="31">
        <f t="shared" si="11"/>
        <v>6</v>
      </c>
      <c r="C93" s="73">
        <f t="shared" si="12"/>
        <v>45087</v>
      </c>
      <c r="D93" s="33">
        <v>14.72</v>
      </c>
      <c r="E93" s="33">
        <v>1.5</v>
      </c>
      <c r="F93" s="33">
        <v>33</v>
      </c>
      <c r="G93" s="33">
        <v>10.41</v>
      </c>
      <c r="H93" s="33">
        <v>74</v>
      </c>
      <c r="I93" s="33">
        <f t="shared" si="13"/>
        <v>14.72</v>
      </c>
      <c r="J93" s="33">
        <f t="shared" si="14"/>
        <v>1.5</v>
      </c>
      <c r="K93" s="33">
        <f t="shared" si="15"/>
        <v>33</v>
      </c>
      <c r="L93" s="33">
        <f t="shared" si="16"/>
        <v>10.41</v>
      </c>
      <c r="M93" s="33">
        <f t="shared" si="17"/>
        <v>74</v>
      </c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23" ht="15.75" customHeight="1" x14ac:dyDescent="0.5">
      <c r="A94" s="31">
        <v>93</v>
      </c>
      <c r="B94" s="31">
        <f t="shared" si="11"/>
        <v>7</v>
      </c>
      <c r="C94" s="73">
        <f t="shared" si="12"/>
        <v>45088</v>
      </c>
      <c r="D94" s="33">
        <v>47.54</v>
      </c>
      <c r="E94" s="33">
        <v>33.5</v>
      </c>
      <c r="F94" s="33">
        <v>59</v>
      </c>
      <c r="G94" s="33">
        <v>14.919999999999995</v>
      </c>
      <c r="H94" s="33">
        <v>811</v>
      </c>
      <c r="I94" s="33">
        <f t="shared" si="13"/>
        <v>47.54</v>
      </c>
      <c r="J94" s="33">
        <f t="shared" si="14"/>
        <v>33.5</v>
      </c>
      <c r="K94" s="33">
        <f t="shared" si="15"/>
        <v>59</v>
      </c>
      <c r="L94" s="33">
        <f t="shared" si="16"/>
        <v>14.919999999999995</v>
      </c>
      <c r="M94" s="33">
        <f t="shared" si="17"/>
        <v>291.75</v>
      </c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23" ht="15.75" customHeight="1" x14ac:dyDescent="0.5">
      <c r="A95" s="31">
        <v>94</v>
      </c>
      <c r="B95" s="31">
        <f t="shared" si="11"/>
        <v>1</v>
      </c>
      <c r="C95" s="73">
        <f t="shared" si="12"/>
        <v>45089</v>
      </c>
      <c r="D95" s="33">
        <v>56.18</v>
      </c>
      <c r="E95" s="33">
        <v>36.5</v>
      </c>
      <c r="F95" s="33">
        <v>72.3</v>
      </c>
      <c r="G95" s="33">
        <v>14.420000000000002</v>
      </c>
      <c r="H95" s="33">
        <v>225</v>
      </c>
      <c r="I95" s="33">
        <f t="shared" si="13"/>
        <v>56.18</v>
      </c>
      <c r="J95" s="33">
        <f t="shared" si="14"/>
        <v>36.5</v>
      </c>
      <c r="K95" s="33">
        <f t="shared" si="15"/>
        <v>72.3</v>
      </c>
      <c r="L95" s="33">
        <f t="shared" si="16"/>
        <v>14.420000000000002</v>
      </c>
      <c r="M95" s="33">
        <f t="shared" si="17"/>
        <v>225</v>
      </c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23" ht="15.75" customHeight="1" x14ac:dyDescent="0.5">
      <c r="A96" s="31">
        <v>95</v>
      </c>
      <c r="B96" s="31">
        <f t="shared" si="11"/>
        <v>2</v>
      </c>
      <c r="C96" s="73">
        <f t="shared" si="12"/>
        <v>45090</v>
      </c>
      <c r="D96" s="33">
        <v>30.48</v>
      </c>
      <c r="E96" s="33">
        <v>14</v>
      </c>
      <c r="F96" s="33">
        <v>10.9</v>
      </c>
      <c r="G96" s="33">
        <v>13.380000000000003</v>
      </c>
      <c r="H96" s="33">
        <v>117</v>
      </c>
      <c r="I96" s="33">
        <f t="shared" si="13"/>
        <v>30.48</v>
      </c>
      <c r="J96" s="33">
        <f t="shared" si="14"/>
        <v>14</v>
      </c>
      <c r="K96" s="33">
        <f t="shared" si="15"/>
        <v>10.9</v>
      </c>
      <c r="L96" s="33">
        <f t="shared" si="16"/>
        <v>13.380000000000003</v>
      </c>
      <c r="M96" s="33">
        <f t="shared" si="17"/>
        <v>117</v>
      </c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 ht="15.75" customHeight="1" x14ac:dyDescent="0.5">
      <c r="A97" s="31">
        <v>96</v>
      </c>
      <c r="B97" s="31">
        <f t="shared" si="11"/>
        <v>3</v>
      </c>
      <c r="C97" s="73">
        <f t="shared" si="12"/>
        <v>45091</v>
      </c>
      <c r="D97" s="33">
        <v>40.660000000000004</v>
      </c>
      <c r="E97" s="33">
        <v>31.6</v>
      </c>
      <c r="F97" s="33">
        <v>52.9</v>
      </c>
      <c r="G97" s="33">
        <v>10.970000000000002</v>
      </c>
      <c r="H97" s="33">
        <v>175</v>
      </c>
      <c r="I97" s="33">
        <f t="shared" si="13"/>
        <v>40.660000000000004</v>
      </c>
      <c r="J97" s="33">
        <f t="shared" si="14"/>
        <v>31.6</v>
      </c>
      <c r="K97" s="33">
        <f t="shared" si="15"/>
        <v>52.9</v>
      </c>
      <c r="L97" s="33">
        <f t="shared" si="16"/>
        <v>10.970000000000002</v>
      </c>
      <c r="M97" s="33">
        <f t="shared" si="17"/>
        <v>175</v>
      </c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 ht="15.75" customHeight="1" x14ac:dyDescent="0.5">
      <c r="A98" s="31">
        <v>97</v>
      </c>
      <c r="B98" s="31">
        <f t="shared" ref="B98:B129" si="18">WEEKDAY(C98,2)</f>
        <v>4</v>
      </c>
      <c r="C98" s="73">
        <f t="shared" ref="C98:C129" si="19">+C99-1</f>
        <v>45092</v>
      </c>
      <c r="D98" s="33">
        <v>46.519999999999996</v>
      </c>
      <c r="E98" s="33">
        <v>3.5</v>
      </c>
      <c r="F98" s="33">
        <v>5.9</v>
      </c>
      <c r="G98" s="33">
        <v>19.149999999999999</v>
      </c>
      <c r="H98" s="33">
        <v>132</v>
      </c>
      <c r="I98" s="33">
        <f t="shared" si="13"/>
        <v>46.519999999999996</v>
      </c>
      <c r="J98" s="33">
        <f t="shared" si="14"/>
        <v>3.5</v>
      </c>
      <c r="K98" s="33">
        <f t="shared" si="15"/>
        <v>5.9</v>
      </c>
      <c r="L98" s="33">
        <f t="shared" si="16"/>
        <v>19.149999999999999</v>
      </c>
      <c r="M98" s="33">
        <f t="shared" si="17"/>
        <v>132</v>
      </c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 ht="15.75" customHeight="1" x14ac:dyDescent="0.5">
      <c r="A99" s="31">
        <v>98</v>
      </c>
      <c r="B99" s="31">
        <f t="shared" si="18"/>
        <v>5</v>
      </c>
      <c r="C99" s="73">
        <f t="shared" si="19"/>
        <v>45093</v>
      </c>
      <c r="D99" s="33">
        <v>41.980000000000004</v>
      </c>
      <c r="E99" s="33">
        <v>21</v>
      </c>
      <c r="F99" s="33">
        <v>22</v>
      </c>
      <c r="G99" s="33">
        <v>20.190000000000001</v>
      </c>
      <c r="H99" s="33">
        <v>168</v>
      </c>
      <c r="I99" s="33">
        <f t="shared" si="13"/>
        <v>41.980000000000004</v>
      </c>
      <c r="J99" s="33">
        <f t="shared" si="14"/>
        <v>21</v>
      </c>
      <c r="K99" s="33">
        <f t="shared" si="15"/>
        <v>22</v>
      </c>
      <c r="L99" s="33">
        <f t="shared" si="16"/>
        <v>20.190000000000001</v>
      </c>
      <c r="M99" s="33">
        <f t="shared" si="17"/>
        <v>168</v>
      </c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 ht="15.75" customHeight="1" x14ac:dyDescent="0.5">
      <c r="A100" s="31">
        <v>99</v>
      </c>
      <c r="B100" s="31">
        <f t="shared" si="18"/>
        <v>6</v>
      </c>
      <c r="C100" s="73">
        <f t="shared" si="19"/>
        <v>45094</v>
      </c>
      <c r="D100" s="33">
        <v>64.94</v>
      </c>
      <c r="E100" s="33">
        <v>42.3</v>
      </c>
      <c r="F100" s="33">
        <v>51.2</v>
      </c>
      <c r="G100" s="33">
        <v>29.639999999999993</v>
      </c>
      <c r="H100" s="33">
        <v>257</v>
      </c>
      <c r="I100" s="33">
        <f t="shared" si="13"/>
        <v>64.94</v>
      </c>
      <c r="J100" s="33">
        <f t="shared" si="14"/>
        <v>42.3</v>
      </c>
      <c r="K100" s="33">
        <f t="shared" si="15"/>
        <v>51.2</v>
      </c>
      <c r="L100" s="33">
        <f t="shared" si="16"/>
        <v>29.639999999999993</v>
      </c>
      <c r="M100" s="33">
        <f t="shared" si="17"/>
        <v>257</v>
      </c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 ht="15.75" customHeight="1" x14ac:dyDescent="0.5">
      <c r="A101" s="31">
        <v>100</v>
      </c>
      <c r="B101" s="31">
        <f t="shared" si="18"/>
        <v>7</v>
      </c>
      <c r="C101" s="73">
        <f t="shared" si="19"/>
        <v>45095</v>
      </c>
      <c r="D101" s="33">
        <v>28.04</v>
      </c>
      <c r="E101" s="33">
        <v>41.7</v>
      </c>
      <c r="F101" s="33">
        <v>45.9</v>
      </c>
      <c r="G101" s="33">
        <v>16.010000000000005</v>
      </c>
      <c r="H101" s="33">
        <v>183</v>
      </c>
      <c r="I101" s="33">
        <f t="shared" si="13"/>
        <v>28.04</v>
      </c>
      <c r="J101" s="33">
        <f t="shared" si="14"/>
        <v>41.7</v>
      </c>
      <c r="K101" s="33">
        <f t="shared" si="15"/>
        <v>45.9</v>
      </c>
      <c r="L101" s="33">
        <f t="shared" si="16"/>
        <v>16.010000000000005</v>
      </c>
      <c r="M101" s="33">
        <f t="shared" si="17"/>
        <v>183</v>
      </c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 ht="15.75" customHeight="1" x14ac:dyDescent="0.5">
      <c r="A102" s="31">
        <v>101</v>
      </c>
      <c r="B102" s="31">
        <f t="shared" si="18"/>
        <v>1</v>
      </c>
      <c r="C102" s="73">
        <f t="shared" si="19"/>
        <v>45096</v>
      </c>
      <c r="D102" s="33">
        <v>51.480000000000004</v>
      </c>
      <c r="E102" s="33">
        <v>4.3</v>
      </c>
      <c r="F102" s="33">
        <v>49.8</v>
      </c>
      <c r="G102" s="33">
        <v>4.4699999999999989</v>
      </c>
      <c r="H102" s="33">
        <v>137</v>
      </c>
      <c r="I102" s="33">
        <f t="shared" si="13"/>
        <v>51.480000000000004</v>
      </c>
      <c r="J102" s="33">
        <f t="shared" si="14"/>
        <v>4.3</v>
      </c>
      <c r="K102" s="33">
        <f t="shared" si="15"/>
        <v>49.8</v>
      </c>
      <c r="L102" s="33">
        <f t="shared" si="16"/>
        <v>4.4699999999999989</v>
      </c>
      <c r="M102" s="33">
        <f t="shared" si="17"/>
        <v>137</v>
      </c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 ht="15.75" customHeight="1" x14ac:dyDescent="0.5">
      <c r="A103" s="31">
        <v>102</v>
      </c>
      <c r="B103" s="31">
        <f t="shared" si="18"/>
        <v>2</v>
      </c>
      <c r="C103" s="73">
        <f t="shared" si="19"/>
        <v>45097</v>
      </c>
      <c r="D103" s="33">
        <v>63.279999999999994</v>
      </c>
      <c r="E103" s="33">
        <v>36.299999999999997</v>
      </c>
      <c r="F103" s="33">
        <v>93.625</v>
      </c>
      <c r="G103" s="33">
        <v>10.339999999999989</v>
      </c>
      <c r="H103" s="33">
        <v>254</v>
      </c>
      <c r="I103" s="33">
        <f t="shared" si="13"/>
        <v>63.279999999999994</v>
      </c>
      <c r="J103" s="33">
        <f t="shared" si="14"/>
        <v>36.299999999999997</v>
      </c>
      <c r="K103" s="33">
        <f t="shared" si="15"/>
        <v>93.625</v>
      </c>
      <c r="L103" s="33">
        <f t="shared" si="16"/>
        <v>10.339999999999989</v>
      </c>
      <c r="M103" s="33">
        <f t="shared" si="17"/>
        <v>254</v>
      </c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 ht="15.75" customHeight="1" x14ac:dyDescent="0.5">
      <c r="A104" s="31">
        <v>103</v>
      </c>
      <c r="B104" s="31">
        <f t="shared" si="18"/>
        <v>3</v>
      </c>
      <c r="C104" s="73">
        <f t="shared" si="19"/>
        <v>45098</v>
      </c>
      <c r="D104" s="33">
        <v>64.039999999999992</v>
      </c>
      <c r="E104" s="33">
        <v>10.1</v>
      </c>
      <c r="F104" s="33">
        <v>21.4</v>
      </c>
      <c r="G104" s="33">
        <v>24.509999999999998</v>
      </c>
      <c r="H104" s="33">
        <v>158</v>
      </c>
      <c r="I104" s="33">
        <f t="shared" si="13"/>
        <v>64.039999999999992</v>
      </c>
      <c r="J104" s="33">
        <f t="shared" si="14"/>
        <v>10.1</v>
      </c>
      <c r="K104" s="33">
        <f t="shared" si="15"/>
        <v>21.4</v>
      </c>
      <c r="L104" s="33">
        <f t="shared" si="16"/>
        <v>24.509999999999998</v>
      </c>
      <c r="M104" s="33">
        <f t="shared" si="17"/>
        <v>158</v>
      </c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 ht="15.75" customHeight="1" x14ac:dyDescent="0.5">
      <c r="A105" s="31">
        <v>104</v>
      </c>
      <c r="B105" s="31">
        <f t="shared" si="18"/>
        <v>4</v>
      </c>
      <c r="C105" s="73">
        <f t="shared" si="19"/>
        <v>45099</v>
      </c>
      <c r="D105" s="33">
        <v>38.58</v>
      </c>
      <c r="E105" s="33">
        <v>17.2</v>
      </c>
      <c r="F105" s="33">
        <v>17.899999999999999</v>
      </c>
      <c r="G105" s="33">
        <v>20.23</v>
      </c>
      <c r="H105" s="33">
        <v>163</v>
      </c>
      <c r="I105" s="33">
        <f t="shared" si="13"/>
        <v>38.58</v>
      </c>
      <c r="J105" s="33">
        <f t="shared" si="14"/>
        <v>17.2</v>
      </c>
      <c r="K105" s="33">
        <f t="shared" si="15"/>
        <v>17.899999999999999</v>
      </c>
      <c r="L105" s="33">
        <f t="shared" si="16"/>
        <v>20.23</v>
      </c>
      <c r="M105" s="33">
        <f t="shared" si="17"/>
        <v>163</v>
      </c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 ht="15.75" customHeight="1" x14ac:dyDescent="0.5">
      <c r="A106" s="31">
        <v>105</v>
      </c>
      <c r="B106" s="31">
        <f t="shared" si="18"/>
        <v>5</v>
      </c>
      <c r="C106" s="73">
        <f t="shared" si="19"/>
        <v>45100</v>
      </c>
      <c r="D106" s="33">
        <v>54.64</v>
      </c>
      <c r="E106" s="33">
        <v>34.299999999999997</v>
      </c>
      <c r="F106" s="33">
        <v>5.3</v>
      </c>
      <c r="G106" s="33">
        <v>38.85</v>
      </c>
      <c r="H106" s="33">
        <v>208</v>
      </c>
      <c r="I106" s="33">
        <f t="shared" si="13"/>
        <v>54.64</v>
      </c>
      <c r="J106" s="33">
        <f t="shared" si="14"/>
        <v>34.299999999999997</v>
      </c>
      <c r="K106" s="33">
        <f t="shared" si="15"/>
        <v>5.3</v>
      </c>
      <c r="L106" s="33">
        <f t="shared" si="16"/>
        <v>38.85</v>
      </c>
      <c r="M106" s="33">
        <f t="shared" si="17"/>
        <v>208</v>
      </c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 ht="15.75" customHeight="1" x14ac:dyDescent="0.5">
      <c r="A107" s="31">
        <v>106</v>
      </c>
      <c r="B107" s="31">
        <f t="shared" si="18"/>
        <v>6</v>
      </c>
      <c r="C107" s="73">
        <f t="shared" si="19"/>
        <v>45101</v>
      </c>
      <c r="D107" s="33">
        <v>37.58</v>
      </c>
      <c r="E107" s="33">
        <v>46.4</v>
      </c>
      <c r="F107" s="33">
        <v>59</v>
      </c>
      <c r="G107" s="33">
        <v>13.39</v>
      </c>
      <c r="H107" s="33">
        <v>196</v>
      </c>
      <c r="I107" s="33">
        <f t="shared" si="13"/>
        <v>37.58</v>
      </c>
      <c r="J107" s="33">
        <f t="shared" si="14"/>
        <v>46.4</v>
      </c>
      <c r="K107" s="33">
        <f t="shared" si="15"/>
        <v>59</v>
      </c>
      <c r="L107" s="33">
        <f t="shared" si="16"/>
        <v>13.39</v>
      </c>
      <c r="M107" s="33">
        <f t="shared" si="17"/>
        <v>196</v>
      </c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 ht="15.75" customHeight="1" x14ac:dyDescent="0.5">
      <c r="A108" s="31">
        <v>107</v>
      </c>
      <c r="B108" s="31">
        <f t="shared" si="18"/>
        <v>7</v>
      </c>
      <c r="C108" s="73">
        <f t="shared" si="19"/>
        <v>45102</v>
      </c>
      <c r="D108" s="33">
        <v>8</v>
      </c>
      <c r="E108" s="33">
        <v>11</v>
      </c>
      <c r="F108" s="33">
        <v>29.7</v>
      </c>
      <c r="G108" s="33">
        <v>16.119999999999997</v>
      </c>
      <c r="H108" s="33">
        <v>86</v>
      </c>
      <c r="I108" s="33">
        <f t="shared" si="13"/>
        <v>8</v>
      </c>
      <c r="J108" s="33">
        <f t="shared" si="14"/>
        <v>11</v>
      </c>
      <c r="K108" s="33">
        <f t="shared" si="15"/>
        <v>29.7</v>
      </c>
      <c r="L108" s="33">
        <f t="shared" si="16"/>
        <v>16.119999999999997</v>
      </c>
      <c r="M108" s="33">
        <f t="shared" si="17"/>
        <v>86</v>
      </c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 ht="15.75" customHeight="1" x14ac:dyDescent="0.5">
      <c r="A109" s="31">
        <v>108</v>
      </c>
      <c r="B109" s="31">
        <f t="shared" si="18"/>
        <v>1</v>
      </c>
      <c r="C109" s="73">
        <f t="shared" si="19"/>
        <v>45103</v>
      </c>
      <c r="D109" s="33">
        <v>27.080000000000002</v>
      </c>
      <c r="E109" s="33">
        <v>0.3</v>
      </c>
      <c r="F109" s="33">
        <v>23.2</v>
      </c>
      <c r="G109" s="33">
        <v>19.910000000000004</v>
      </c>
      <c r="H109" s="33">
        <v>104</v>
      </c>
      <c r="I109" s="33">
        <f t="shared" si="13"/>
        <v>27.080000000000002</v>
      </c>
      <c r="J109" s="33">
        <f t="shared" si="14"/>
        <v>0.3</v>
      </c>
      <c r="K109" s="33">
        <f t="shared" si="15"/>
        <v>23.2</v>
      </c>
      <c r="L109" s="33">
        <f t="shared" si="16"/>
        <v>19.910000000000004</v>
      </c>
      <c r="M109" s="33">
        <f t="shared" si="17"/>
        <v>104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 ht="15.75" customHeight="1" x14ac:dyDescent="0.5">
      <c r="A110" s="31">
        <v>109</v>
      </c>
      <c r="B110" s="31">
        <f t="shared" si="18"/>
        <v>2</v>
      </c>
      <c r="C110" s="73">
        <f t="shared" si="19"/>
        <v>45104</v>
      </c>
      <c r="D110" s="33">
        <v>9.620000000000001</v>
      </c>
      <c r="E110" s="33">
        <v>0.4</v>
      </c>
      <c r="F110" s="33">
        <v>25.6</v>
      </c>
      <c r="G110" s="33">
        <v>11.269999999999998</v>
      </c>
      <c r="H110" s="33">
        <v>54</v>
      </c>
      <c r="I110" s="33">
        <f t="shared" si="13"/>
        <v>9.620000000000001</v>
      </c>
      <c r="J110" s="33">
        <f t="shared" si="14"/>
        <v>0.4</v>
      </c>
      <c r="K110" s="33">
        <f t="shared" si="15"/>
        <v>25.6</v>
      </c>
      <c r="L110" s="33">
        <f t="shared" si="16"/>
        <v>11.269999999999998</v>
      </c>
      <c r="M110" s="33">
        <f t="shared" si="17"/>
        <v>54</v>
      </c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 ht="15.75" customHeight="1" x14ac:dyDescent="0.5">
      <c r="A111" s="31">
        <v>110</v>
      </c>
      <c r="B111" s="31">
        <f t="shared" si="18"/>
        <v>3</v>
      </c>
      <c r="C111" s="73">
        <f t="shared" si="19"/>
        <v>45105</v>
      </c>
      <c r="D111" s="33">
        <v>53.08</v>
      </c>
      <c r="E111" s="33">
        <v>26.9</v>
      </c>
      <c r="F111" s="33">
        <v>5.5</v>
      </c>
      <c r="G111" s="33">
        <v>36.789999999999992</v>
      </c>
      <c r="H111" s="33">
        <v>140.72222222222223</v>
      </c>
      <c r="I111" s="33">
        <f t="shared" si="13"/>
        <v>53.08</v>
      </c>
      <c r="J111" s="33">
        <f t="shared" si="14"/>
        <v>26.9</v>
      </c>
      <c r="K111" s="33">
        <f t="shared" si="15"/>
        <v>5.5</v>
      </c>
      <c r="L111" s="33">
        <f t="shared" si="16"/>
        <v>36.789999999999992</v>
      </c>
      <c r="M111" s="33">
        <f t="shared" si="17"/>
        <v>140.72222222222223</v>
      </c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 ht="15.75" customHeight="1" x14ac:dyDescent="0.5">
      <c r="A112" s="31">
        <v>111</v>
      </c>
      <c r="B112" s="31">
        <f t="shared" si="18"/>
        <v>4</v>
      </c>
      <c r="C112" s="73">
        <f t="shared" si="19"/>
        <v>45106</v>
      </c>
      <c r="D112" s="33">
        <v>54.160000000000004</v>
      </c>
      <c r="E112" s="33">
        <v>8.1999999999999993</v>
      </c>
      <c r="F112" s="33">
        <v>56.5</v>
      </c>
      <c r="G112" s="33">
        <v>4.0799999999999983</v>
      </c>
      <c r="H112" s="33">
        <v>150</v>
      </c>
      <c r="I112" s="33">
        <f t="shared" si="13"/>
        <v>54.160000000000004</v>
      </c>
      <c r="J112" s="33">
        <f t="shared" si="14"/>
        <v>8.1999999999999993</v>
      </c>
      <c r="K112" s="33">
        <f t="shared" si="15"/>
        <v>56.5</v>
      </c>
      <c r="L112" s="33">
        <f t="shared" si="16"/>
        <v>4.0799999999999983</v>
      </c>
      <c r="M112" s="33">
        <f t="shared" si="17"/>
        <v>150</v>
      </c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 ht="15.75" customHeight="1" x14ac:dyDescent="0.5">
      <c r="A113" s="31">
        <v>112</v>
      </c>
      <c r="B113" s="31">
        <f t="shared" si="18"/>
        <v>5</v>
      </c>
      <c r="C113" s="73">
        <f t="shared" si="19"/>
        <v>45107</v>
      </c>
      <c r="D113" s="33">
        <v>55.339999999999996</v>
      </c>
      <c r="E113" s="33">
        <v>38</v>
      </c>
      <c r="F113" s="33">
        <v>23.2</v>
      </c>
      <c r="G113" s="33">
        <v>33.89</v>
      </c>
      <c r="H113" s="33">
        <v>221</v>
      </c>
      <c r="I113" s="33">
        <f t="shared" si="13"/>
        <v>55.339999999999996</v>
      </c>
      <c r="J113" s="33">
        <f t="shared" si="14"/>
        <v>38</v>
      </c>
      <c r="K113" s="33">
        <f t="shared" si="15"/>
        <v>23.2</v>
      </c>
      <c r="L113" s="33">
        <f t="shared" si="16"/>
        <v>33.89</v>
      </c>
      <c r="M113" s="33">
        <f t="shared" si="17"/>
        <v>221</v>
      </c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 ht="15.75" customHeight="1" x14ac:dyDescent="0.5">
      <c r="A114" s="31">
        <v>113</v>
      </c>
      <c r="B114" s="31">
        <f t="shared" si="18"/>
        <v>6</v>
      </c>
      <c r="C114" s="73">
        <f t="shared" si="19"/>
        <v>45108</v>
      </c>
      <c r="D114" s="33">
        <v>39.14</v>
      </c>
      <c r="E114" s="33">
        <v>15.4</v>
      </c>
      <c r="F114" s="33">
        <v>2.4</v>
      </c>
      <c r="G114" s="33">
        <v>24.31</v>
      </c>
      <c r="H114" s="33">
        <v>159</v>
      </c>
      <c r="I114" s="33">
        <f t="shared" si="13"/>
        <v>39.14</v>
      </c>
      <c r="J114" s="33">
        <f t="shared" si="14"/>
        <v>15.4</v>
      </c>
      <c r="K114" s="33">
        <f t="shared" si="15"/>
        <v>2.4</v>
      </c>
      <c r="L114" s="33">
        <f t="shared" si="16"/>
        <v>24.31</v>
      </c>
      <c r="M114" s="33">
        <f t="shared" si="17"/>
        <v>159</v>
      </c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 ht="15.75" customHeight="1" x14ac:dyDescent="0.5">
      <c r="A115" s="31">
        <v>114</v>
      </c>
      <c r="B115" s="31">
        <f t="shared" si="18"/>
        <v>7</v>
      </c>
      <c r="C115" s="73">
        <f t="shared" si="19"/>
        <v>45109</v>
      </c>
      <c r="D115" s="33">
        <v>44.92</v>
      </c>
      <c r="E115" s="33">
        <v>20.6</v>
      </c>
      <c r="F115" s="33">
        <v>10.7</v>
      </c>
      <c r="G115" s="33">
        <v>26.98</v>
      </c>
      <c r="H115" s="33">
        <v>167</v>
      </c>
      <c r="I115" s="33">
        <f t="shared" si="13"/>
        <v>44.92</v>
      </c>
      <c r="J115" s="33">
        <f t="shared" si="14"/>
        <v>20.6</v>
      </c>
      <c r="K115" s="33">
        <f t="shared" si="15"/>
        <v>10.7</v>
      </c>
      <c r="L115" s="33">
        <f t="shared" si="16"/>
        <v>26.98</v>
      </c>
      <c r="M115" s="33">
        <f t="shared" si="17"/>
        <v>167</v>
      </c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 ht="15.75" customHeight="1" x14ac:dyDescent="0.5">
      <c r="A116" s="31">
        <v>115</v>
      </c>
      <c r="B116" s="31">
        <f t="shared" si="18"/>
        <v>1</v>
      </c>
      <c r="C116" s="73">
        <f t="shared" si="19"/>
        <v>45110</v>
      </c>
      <c r="D116" s="33">
        <v>18.64</v>
      </c>
      <c r="E116" s="33">
        <v>46.8</v>
      </c>
      <c r="F116" s="33">
        <v>34.5</v>
      </c>
      <c r="G116" s="33">
        <v>17.419999999999998</v>
      </c>
      <c r="H116" s="33">
        <v>152</v>
      </c>
      <c r="I116" s="33">
        <f t="shared" si="13"/>
        <v>18.64</v>
      </c>
      <c r="J116" s="33">
        <f t="shared" si="14"/>
        <v>46.8</v>
      </c>
      <c r="K116" s="33">
        <f t="shared" si="15"/>
        <v>34.5</v>
      </c>
      <c r="L116" s="33">
        <f t="shared" si="16"/>
        <v>17.419999999999998</v>
      </c>
      <c r="M116" s="33">
        <f t="shared" si="17"/>
        <v>152</v>
      </c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 ht="15.75" customHeight="1" x14ac:dyDescent="0.5">
      <c r="A117" s="31">
        <v>116</v>
      </c>
      <c r="B117" s="31">
        <f t="shared" si="18"/>
        <v>2</v>
      </c>
      <c r="C117" s="73">
        <f t="shared" si="19"/>
        <v>45111</v>
      </c>
      <c r="D117" s="33">
        <v>24.02</v>
      </c>
      <c r="E117" s="33">
        <v>35</v>
      </c>
      <c r="F117" s="33">
        <v>52.7</v>
      </c>
      <c r="G117" s="33">
        <v>3.9299999999999962</v>
      </c>
      <c r="H117" s="33">
        <v>133</v>
      </c>
      <c r="I117" s="33">
        <f t="shared" si="13"/>
        <v>24.02</v>
      </c>
      <c r="J117" s="33">
        <f t="shared" si="14"/>
        <v>35</v>
      </c>
      <c r="K117" s="33">
        <f t="shared" si="15"/>
        <v>52.7</v>
      </c>
      <c r="L117" s="33">
        <f t="shared" si="16"/>
        <v>3.9299999999999962</v>
      </c>
      <c r="M117" s="33">
        <f t="shared" si="17"/>
        <v>133</v>
      </c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 ht="15.75" customHeight="1" x14ac:dyDescent="0.5">
      <c r="A118" s="31">
        <v>117</v>
      </c>
      <c r="B118" s="31">
        <f t="shared" si="18"/>
        <v>3</v>
      </c>
      <c r="C118" s="73">
        <f t="shared" si="19"/>
        <v>45112</v>
      </c>
      <c r="D118" s="33">
        <v>37.839999999999996</v>
      </c>
      <c r="E118" s="33">
        <v>14.3</v>
      </c>
      <c r="F118" s="33">
        <v>25.6</v>
      </c>
      <c r="G118" s="33">
        <v>10.829999999999998</v>
      </c>
      <c r="H118" s="33">
        <v>129</v>
      </c>
      <c r="I118" s="33">
        <f t="shared" si="13"/>
        <v>37.839999999999996</v>
      </c>
      <c r="J118" s="33">
        <f t="shared" si="14"/>
        <v>14.3</v>
      </c>
      <c r="K118" s="33">
        <f t="shared" si="15"/>
        <v>25.6</v>
      </c>
      <c r="L118" s="33">
        <f t="shared" si="16"/>
        <v>10.829999999999998</v>
      </c>
      <c r="M118" s="33">
        <f t="shared" si="17"/>
        <v>129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 ht="15.75" customHeight="1" x14ac:dyDescent="0.5">
      <c r="A119" s="31">
        <v>118</v>
      </c>
      <c r="B119" s="31">
        <f t="shared" si="18"/>
        <v>4</v>
      </c>
      <c r="C119" s="73">
        <f t="shared" si="19"/>
        <v>45113</v>
      </c>
      <c r="D119" s="33">
        <v>25.28</v>
      </c>
      <c r="E119" s="33">
        <v>0.8</v>
      </c>
      <c r="F119" s="33">
        <v>14.8</v>
      </c>
      <c r="G119" s="33">
        <v>2.12</v>
      </c>
      <c r="H119" s="33">
        <v>108</v>
      </c>
      <c r="I119" s="33">
        <f t="shared" si="13"/>
        <v>25.28</v>
      </c>
      <c r="J119" s="33">
        <f t="shared" si="14"/>
        <v>0.8</v>
      </c>
      <c r="K119" s="33">
        <f t="shared" si="15"/>
        <v>14.8</v>
      </c>
      <c r="L119" s="33">
        <f t="shared" si="16"/>
        <v>2.12</v>
      </c>
      <c r="M119" s="33">
        <f t="shared" si="17"/>
        <v>108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 ht="15.75" customHeight="1" x14ac:dyDescent="0.5">
      <c r="A120" s="31">
        <v>119</v>
      </c>
      <c r="B120" s="31">
        <f t="shared" si="18"/>
        <v>5</v>
      </c>
      <c r="C120" s="73">
        <f t="shared" si="19"/>
        <v>45114</v>
      </c>
      <c r="D120" s="33">
        <v>29.14</v>
      </c>
      <c r="E120" s="33">
        <v>36.9</v>
      </c>
      <c r="F120" s="33">
        <v>79.2</v>
      </c>
      <c r="G120" s="33">
        <v>19.339999999999996</v>
      </c>
      <c r="H120" s="33">
        <v>172</v>
      </c>
      <c r="I120" s="33">
        <f t="shared" si="13"/>
        <v>29.14</v>
      </c>
      <c r="J120" s="33">
        <f t="shared" si="14"/>
        <v>36.9</v>
      </c>
      <c r="K120" s="33">
        <f t="shared" si="15"/>
        <v>79.2</v>
      </c>
      <c r="L120" s="33">
        <f t="shared" si="16"/>
        <v>19.339999999999996</v>
      </c>
      <c r="M120" s="33">
        <f t="shared" si="17"/>
        <v>172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 ht="15.75" customHeight="1" x14ac:dyDescent="0.5">
      <c r="A121" s="31">
        <v>120</v>
      </c>
      <c r="B121" s="31">
        <f t="shared" si="18"/>
        <v>6</v>
      </c>
      <c r="C121" s="73">
        <f t="shared" si="19"/>
        <v>45115</v>
      </c>
      <c r="D121" s="33">
        <v>9.879999999999999</v>
      </c>
      <c r="E121" s="33">
        <v>16</v>
      </c>
      <c r="F121" s="33">
        <v>22.3</v>
      </c>
      <c r="G121" s="33">
        <v>1.0199999999999996</v>
      </c>
      <c r="H121" s="33">
        <v>77</v>
      </c>
      <c r="I121" s="33">
        <f t="shared" si="13"/>
        <v>9.879999999999999</v>
      </c>
      <c r="J121" s="33">
        <f t="shared" si="14"/>
        <v>16</v>
      </c>
      <c r="K121" s="33">
        <f t="shared" si="15"/>
        <v>22.3</v>
      </c>
      <c r="L121" s="33">
        <f t="shared" si="16"/>
        <v>1.0199999999999996</v>
      </c>
      <c r="M121" s="33">
        <f t="shared" si="17"/>
        <v>77</v>
      </c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 ht="15.75" customHeight="1" x14ac:dyDescent="0.5">
      <c r="A122" s="31">
        <v>121</v>
      </c>
      <c r="B122" s="31">
        <f t="shared" si="18"/>
        <v>7</v>
      </c>
      <c r="C122" s="73">
        <f t="shared" si="19"/>
        <v>45116</v>
      </c>
      <c r="D122" s="33">
        <v>36.260000000000005</v>
      </c>
      <c r="E122" s="33">
        <v>26.8</v>
      </c>
      <c r="F122" s="33">
        <v>46.2</v>
      </c>
      <c r="G122" s="33">
        <v>9.0500000000000007</v>
      </c>
      <c r="H122" s="33">
        <v>163</v>
      </c>
      <c r="I122" s="33">
        <f t="shared" si="13"/>
        <v>36.260000000000005</v>
      </c>
      <c r="J122" s="33">
        <f t="shared" si="14"/>
        <v>26.8</v>
      </c>
      <c r="K122" s="33">
        <f t="shared" si="15"/>
        <v>46.2</v>
      </c>
      <c r="L122" s="33">
        <f t="shared" si="16"/>
        <v>9.0500000000000007</v>
      </c>
      <c r="M122" s="33">
        <f t="shared" si="17"/>
        <v>163</v>
      </c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 ht="15.75" customHeight="1" x14ac:dyDescent="0.5">
      <c r="A123" s="31">
        <v>122</v>
      </c>
      <c r="B123" s="31">
        <f t="shared" si="18"/>
        <v>1</v>
      </c>
      <c r="C123" s="73">
        <f t="shared" si="19"/>
        <v>45117</v>
      </c>
      <c r="D123" s="33">
        <v>7.76</v>
      </c>
      <c r="E123" s="33">
        <v>21.7</v>
      </c>
      <c r="F123" s="33">
        <v>50.4</v>
      </c>
      <c r="G123" s="33">
        <v>12.57</v>
      </c>
      <c r="H123" s="33">
        <v>81</v>
      </c>
      <c r="I123" s="33">
        <f t="shared" si="13"/>
        <v>7.76</v>
      </c>
      <c r="J123" s="33">
        <f t="shared" si="14"/>
        <v>21.7</v>
      </c>
      <c r="K123" s="33">
        <f t="shared" si="15"/>
        <v>50.4</v>
      </c>
      <c r="L123" s="33">
        <f t="shared" si="16"/>
        <v>12.57</v>
      </c>
      <c r="M123" s="33">
        <f t="shared" si="17"/>
        <v>81</v>
      </c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 ht="15.75" customHeight="1" x14ac:dyDescent="0.5">
      <c r="A124" s="31">
        <v>123</v>
      </c>
      <c r="B124" s="31">
        <f t="shared" si="18"/>
        <v>2</v>
      </c>
      <c r="C124" s="73">
        <f t="shared" si="19"/>
        <v>45118</v>
      </c>
      <c r="D124" s="33">
        <v>45.8</v>
      </c>
      <c r="E124" s="33">
        <v>2.4</v>
      </c>
      <c r="F124" s="33">
        <v>15.6</v>
      </c>
      <c r="G124" s="33">
        <v>17.36</v>
      </c>
      <c r="H124" s="33">
        <v>125</v>
      </c>
      <c r="I124" s="33">
        <f t="shared" si="13"/>
        <v>45.8</v>
      </c>
      <c r="J124" s="33">
        <f t="shared" si="14"/>
        <v>2.4</v>
      </c>
      <c r="K124" s="33">
        <f t="shared" si="15"/>
        <v>15.6</v>
      </c>
      <c r="L124" s="33">
        <f t="shared" si="16"/>
        <v>17.36</v>
      </c>
      <c r="M124" s="33">
        <f t="shared" si="17"/>
        <v>125</v>
      </c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 ht="15.75" customHeight="1" x14ac:dyDescent="0.5">
      <c r="A125" s="31">
        <v>124</v>
      </c>
      <c r="B125" s="31">
        <f t="shared" si="18"/>
        <v>3</v>
      </c>
      <c r="C125" s="73">
        <f t="shared" si="19"/>
        <v>45119</v>
      </c>
      <c r="D125" s="33">
        <v>33.619999999999997</v>
      </c>
      <c r="E125" s="33">
        <v>34.6</v>
      </c>
      <c r="F125" s="33">
        <v>12.4</v>
      </c>
      <c r="G125" s="33">
        <v>24.65</v>
      </c>
      <c r="H125" s="33">
        <v>171</v>
      </c>
      <c r="I125" s="33">
        <f t="shared" si="13"/>
        <v>33.619999999999997</v>
      </c>
      <c r="J125" s="33">
        <f t="shared" si="14"/>
        <v>34.6</v>
      </c>
      <c r="K125" s="33">
        <f t="shared" si="15"/>
        <v>12.4</v>
      </c>
      <c r="L125" s="33">
        <f t="shared" si="16"/>
        <v>24.65</v>
      </c>
      <c r="M125" s="33">
        <f t="shared" si="17"/>
        <v>171</v>
      </c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 ht="15.75" customHeight="1" x14ac:dyDescent="0.5">
      <c r="A126" s="31">
        <v>125</v>
      </c>
      <c r="B126" s="31">
        <f t="shared" si="18"/>
        <v>4</v>
      </c>
      <c r="C126" s="73">
        <f t="shared" si="19"/>
        <v>45120</v>
      </c>
      <c r="D126" s="33">
        <v>51.9</v>
      </c>
      <c r="E126" s="33">
        <v>32.299999999999997</v>
      </c>
      <c r="F126" s="33">
        <v>74.2</v>
      </c>
      <c r="G126" s="33">
        <v>9.419999999999991</v>
      </c>
      <c r="H126" s="33">
        <v>201</v>
      </c>
      <c r="I126" s="33">
        <f t="shared" si="13"/>
        <v>51.9</v>
      </c>
      <c r="J126" s="33">
        <f t="shared" si="14"/>
        <v>32.299999999999997</v>
      </c>
      <c r="K126" s="33">
        <f t="shared" si="15"/>
        <v>74.2</v>
      </c>
      <c r="L126" s="33">
        <f t="shared" si="16"/>
        <v>9.419999999999991</v>
      </c>
      <c r="M126" s="33">
        <f t="shared" si="17"/>
        <v>201</v>
      </c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 ht="15.75" customHeight="1" x14ac:dyDescent="0.5">
      <c r="A127" s="31">
        <v>126</v>
      </c>
      <c r="B127" s="31">
        <f t="shared" si="18"/>
        <v>5</v>
      </c>
      <c r="C127" s="73">
        <f t="shared" si="19"/>
        <v>45121</v>
      </c>
      <c r="D127" s="33">
        <v>18.440000000000001</v>
      </c>
      <c r="E127" s="33">
        <v>11.8</v>
      </c>
      <c r="F127" s="33">
        <v>25.9</v>
      </c>
      <c r="G127" s="33">
        <v>4.2600000000000016</v>
      </c>
      <c r="H127" s="33">
        <v>126</v>
      </c>
      <c r="I127" s="33">
        <f t="shared" si="13"/>
        <v>18.440000000000001</v>
      </c>
      <c r="J127" s="33">
        <f t="shared" si="14"/>
        <v>11.8</v>
      </c>
      <c r="K127" s="33">
        <f t="shared" si="15"/>
        <v>25.9</v>
      </c>
      <c r="L127" s="33">
        <f t="shared" si="16"/>
        <v>4.2600000000000016</v>
      </c>
      <c r="M127" s="33">
        <f t="shared" si="17"/>
        <v>126</v>
      </c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 ht="15.75" customHeight="1" x14ac:dyDescent="0.5">
      <c r="A128" s="31">
        <v>127</v>
      </c>
      <c r="B128" s="31">
        <f t="shared" si="18"/>
        <v>6</v>
      </c>
      <c r="C128" s="73">
        <f t="shared" si="19"/>
        <v>45122</v>
      </c>
      <c r="D128" s="33">
        <v>8.56</v>
      </c>
      <c r="E128" s="33">
        <v>38.9</v>
      </c>
      <c r="F128" s="33">
        <v>50.6</v>
      </c>
      <c r="G128" s="33">
        <v>19.989999999999998</v>
      </c>
      <c r="H128" s="33">
        <v>78</v>
      </c>
      <c r="I128" s="33">
        <f t="shared" si="13"/>
        <v>8.56</v>
      </c>
      <c r="J128" s="33">
        <f t="shared" si="14"/>
        <v>38.9</v>
      </c>
      <c r="K128" s="33">
        <f t="shared" si="15"/>
        <v>50.6</v>
      </c>
      <c r="L128" s="33">
        <f t="shared" si="16"/>
        <v>19.989999999999998</v>
      </c>
      <c r="M128" s="33">
        <f t="shared" si="17"/>
        <v>78</v>
      </c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ht="15.75" customHeight="1" x14ac:dyDescent="0.5">
      <c r="A129" s="31">
        <v>128</v>
      </c>
      <c r="B129" s="31">
        <f t="shared" si="18"/>
        <v>7</v>
      </c>
      <c r="C129" s="73">
        <f t="shared" si="19"/>
        <v>45123</v>
      </c>
      <c r="D129" s="33">
        <v>71.06</v>
      </c>
      <c r="E129" s="33">
        <v>23.450000000000003</v>
      </c>
      <c r="F129" s="33">
        <v>9.1999999999999993</v>
      </c>
      <c r="G129" s="33">
        <v>31.35</v>
      </c>
      <c r="H129" s="33">
        <v>92</v>
      </c>
      <c r="I129" s="33">
        <f t="shared" si="13"/>
        <v>71.06</v>
      </c>
      <c r="J129" s="33">
        <f t="shared" si="14"/>
        <v>23.450000000000003</v>
      </c>
      <c r="K129" s="33">
        <f t="shared" si="15"/>
        <v>9.1999999999999993</v>
      </c>
      <c r="L129" s="33">
        <f t="shared" si="16"/>
        <v>31.35</v>
      </c>
      <c r="M129" s="33">
        <f t="shared" si="17"/>
        <v>92</v>
      </c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ht="15.75" customHeight="1" x14ac:dyDescent="0.5">
      <c r="A130" s="31">
        <v>129</v>
      </c>
      <c r="B130" s="31">
        <f t="shared" ref="B130:B161" si="20">WEEKDAY(C130,2)</f>
        <v>1</v>
      </c>
      <c r="C130" s="73">
        <f t="shared" ref="C130:C161" si="21">+C131-1</f>
        <v>45124</v>
      </c>
      <c r="D130" s="33">
        <v>54.06</v>
      </c>
      <c r="E130" s="33">
        <v>49</v>
      </c>
      <c r="F130" s="33">
        <v>3.2</v>
      </c>
      <c r="G130" s="33">
        <v>45.25</v>
      </c>
      <c r="H130" s="33">
        <v>264</v>
      </c>
      <c r="I130" s="33">
        <f t="shared" si="13"/>
        <v>54.06</v>
      </c>
      <c r="J130" s="33">
        <f t="shared" si="14"/>
        <v>49</v>
      </c>
      <c r="K130" s="33">
        <f t="shared" si="15"/>
        <v>3.2</v>
      </c>
      <c r="L130" s="33">
        <f t="shared" si="16"/>
        <v>41.756249999999994</v>
      </c>
      <c r="M130" s="33">
        <f t="shared" si="17"/>
        <v>264</v>
      </c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ht="15.75" customHeight="1" x14ac:dyDescent="0.5">
      <c r="A131" s="31">
        <v>130</v>
      </c>
      <c r="B131" s="31">
        <f t="shared" si="20"/>
        <v>2</v>
      </c>
      <c r="C131" s="73">
        <f t="shared" si="21"/>
        <v>45125</v>
      </c>
      <c r="D131" s="33">
        <v>18.920000000000002</v>
      </c>
      <c r="E131" s="33">
        <v>12</v>
      </c>
      <c r="F131" s="33">
        <v>43.1</v>
      </c>
      <c r="G131" s="33">
        <v>14.719999999999999</v>
      </c>
      <c r="H131" s="33">
        <v>116</v>
      </c>
      <c r="I131" s="33">
        <f t="shared" ref="I131:I194" si="22">IF(D131&gt;T$4,T$4,D131)</f>
        <v>18.920000000000002</v>
      </c>
      <c r="J131" s="33">
        <f t="shared" ref="J131:J194" si="23">IF(E131&gt;T$5,T$5,E131)</f>
        <v>12</v>
      </c>
      <c r="K131" s="33">
        <f t="shared" ref="K131:K194" si="24">IF(F131&gt;T$6,T$6,F131)</f>
        <v>43.1</v>
      </c>
      <c r="L131" s="33">
        <f t="shared" ref="L131:L194" si="25">IF(G131&gt;T$7,T$7,G131)</f>
        <v>14.719999999999999</v>
      </c>
      <c r="M131" s="33">
        <f t="shared" ref="M131:M194" si="26">IF(H131&gt;T$8,T$8,H131)</f>
        <v>116</v>
      </c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ht="15.75" customHeight="1" x14ac:dyDescent="0.5">
      <c r="A132" s="31">
        <v>131</v>
      </c>
      <c r="B132" s="31">
        <f t="shared" si="20"/>
        <v>3</v>
      </c>
      <c r="C132" s="73">
        <f t="shared" si="21"/>
        <v>45126</v>
      </c>
      <c r="D132" s="33">
        <v>6</v>
      </c>
      <c r="E132" s="33">
        <v>39.6</v>
      </c>
      <c r="F132" s="33">
        <v>8.6999999999999993</v>
      </c>
      <c r="G132" s="33">
        <v>111</v>
      </c>
      <c r="H132" s="33">
        <v>28</v>
      </c>
      <c r="I132" s="33">
        <f t="shared" si="22"/>
        <v>6</v>
      </c>
      <c r="J132" s="33">
        <f t="shared" si="23"/>
        <v>39.6</v>
      </c>
      <c r="K132" s="33">
        <f t="shared" si="24"/>
        <v>8.6999999999999993</v>
      </c>
      <c r="L132" s="33">
        <f t="shared" si="25"/>
        <v>41.756249999999994</v>
      </c>
      <c r="M132" s="33">
        <f t="shared" si="26"/>
        <v>28</v>
      </c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ht="15.75" customHeight="1" x14ac:dyDescent="0.5">
      <c r="A133" s="31">
        <v>132</v>
      </c>
      <c r="B133" s="31">
        <f t="shared" si="20"/>
        <v>4</v>
      </c>
      <c r="C133" s="73">
        <f t="shared" si="21"/>
        <v>45127</v>
      </c>
      <c r="D133" s="33">
        <v>55.04</v>
      </c>
      <c r="E133" s="33">
        <v>2.9</v>
      </c>
      <c r="F133" s="33">
        <v>43</v>
      </c>
      <c r="G133" s="33">
        <v>10.77</v>
      </c>
      <c r="H133" s="33">
        <v>147</v>
      </c>
      <c r="I133" s="33">
        <f t="shared" si="22"/>
        <v>55.04</v>
      </c>
      <c r="J133" s="33">
        <f t="shared" si="23"/>
        <v>2.9</v>
      </c>
      <c r="K133" s="33">
        <f t="shared" si="24"/>
        <v>43</v>
      </c>
      <c r="L133" s="33">
        <f t="shared" si="25"/>
        <v>10.77</v>
      </c>
      <c r="M133" s="33">
        <f t="shared" si="26"/>
        <v>147</v>
      </c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ht="15.75" customHeight="1" x14ac:dyDescent="0.5">
      <c r="A134" s="31">
        <v>133</v>
      </c>
      <c r="B134" s="31">
        <f t="shared" si="20"/>
        <v>5</v>
      </c>
      <c r="C134" s="73">
        <f t="shared" si="21"/>
        <v>45128</v>
      </c>
      <c r="D134" s="33">
        <v>5.68</v>
      </c>
      <c r="E134" s="33">
        <v>27.2</v>
      </c>
      <c r="F134" s="33">
        <v>2.1</v>
      </c>
      <c r="G134" s="33">
        <v>13.6</v>
      </c>
      <c r="H134" s="33">
        <v>71</v>
      </c>
      <c r="I134" s="33">
        <f t="shared" si="22"/>
        <v>5.68</v>
      </c>
      <c r="J134" s="33">
        <f t="shared" si="23"/>
        <v>27.2</v>
      </c>
      <c r="K134" s="33">
        <f t="shared" si="24"/>
        <v>2.1</v>
      </c>
      <c r="L134" s="33">
        <f t="shared" si="25"/>
        <v>13.6</v>
      </c>
      <c r="M134" s="33">
        <f t="shared" si="26"/>
        <v>71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ht="15.75" customHeight="1" x14ac:dyDescent="0.5">
      <c r="A135" s="31">
        <v>134</v>
      </c>
      <c r="B135" s="31">
        <f t="shared" si="20"/>
        <v>6</v>
      </c>
      <c r="C135" s="73">
        <f t="shared" si="21"/>
        <v>45129</v>
      </c>
      <c r="D135" s="33">
        <v>45.96</v>
      </c>
      <c r="E135" s="33">
        <v>33.5</v>
      </c>
      <c r="F135" s="33">
        <v>45.1</v>
      </c>
      <c r="G135" s="33">
        <v>20.69</v>
      </c>
      <c r="H135" s="33">
        <v>164.45535714285714</v>
      </c>
      <c r="I135" s="33">
        <f t="shared" si="22"/>
        <v>45.96</v>
      </c>
      <c r="J135" s="33">
        <f t="shared" si="23"/>
        <v>33.5</v>
      </c>
      <c r="K135" s="33">
        <f t="shared" si="24"/>
        <v>45.1</v>
      </c>
      <c r="L135" s="33">
        <f t="shared" si="25"/>
        <v>20.69</v>
      </c>
      <c r="M135" s="33">
        <f t="shared" si="26"/>
        <v>164.45535714285714</v>
      </c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ht="15.75" customHeight="1" x14ac:dyDescent="0.5">
      <c r="A136" s="31">
        <v>135</v>
      </c>
      <c r="B136" s="31">
        <f t="shared" si="20"/>
        <v>7</v>
      </c>
      <c r="C136" s="73">
        <f t="shared" si="21"/>
        <v>45130</v>
      </c>
      <c r="D136" s="33">
        <v>14.379999999999999</v>
      </c>
      <c r="E136" s="33">
        <v>38.6</v>
      </c>
      <c r="F136" s="33">
        <v>65.599999999999994</v>
      </c>
      <c r="G136" s="33">
        <v>16.750000000000004</v>
      </c>
      <c r="H136" s="33">
        <v>124</v>
      </c>
      <c r="I136" s="33">
        <f t="shared" si="22"/>
        <v>14.379999999999999</v>
      </c>
      <c r="J136" s="33">
        <f t="shared" si="23"/>
        <v>38.6</v>
      </c>
      <c r="K136" s="33">
        <f t="shared" si="24"/>
        <v>65.599999999999994</v>
      </c>
      <c r="L136" s="33">
        <f t="shared" si="25"/>
        <v>16.750000000000004</v>
      </c>
      <c r="M136" s="33">
        <f t="shared" si="26"/>
        <v>124</v>
      </c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ht="15.75" customHeight="1" x14ac:dyDescent="0.5">
      <c r="A137" s="31">
        <v>136</v>
      </c>
      <c r="B137" s="31">
        <f t="shared" si="20"/>
        <v>1</v>
      </c>
      <c r="C137" s="73">
        <f t="shared" si="21"/>
        <v>45131</v>
      </c>
      <c r="D137" s="33">
        <v>14.66</v>
      </c>
      <c r="E137" s="33">
        <v>47</v>
      </c>
      <c r="F137" s="33">
        <v>8.5</v>
      </c>
      <c r="G137" s="33">
        <v>24.93</v>
      </c>
      <c r="H137" s="33">
        <v>124</v>
      </c>
      <c r="I137" s="33">
        <f t="shared" si="22"/>
        <v>14.66</v>
      </c>
      <c r="J137" s="33">
        <f t="shared" si="23"/>
        <v>47</v>
      </c>
      <c r="K137" s="33">
        <f t="shared" si="24"/>
        <v>8.5</v>
      </c>
      <c r="L137" s="33">
        <f t="shared" si="25"/>
        <v>24.93</v>
      </c>
      <c r="M137" s="33">
        <f t="shared" si="26"/>
        <v>124</v>
      </c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ht="15.75" customHeight="1" x14ac:dyDescent="0.5">
      <c r="A138" s="31">
        <v>137</v>
      </c>
      <c r="B138" s="31">
        <f t="shared" si="20"/>
        <v>2</v>
      </c>
      <c r="C138" s="73">
        <f t="shared" si="21"/>
        <v>45132</v>
      </c>
      <c r="D138" s="33">
        <v>10.120000000000001</v>
      </c>
      <c r="E138" s="33">
        <v>39</v>
      </c>
      <c r="F138" s="33">
        <v>9.3000000000000007</v>
      </c>
      <c r="G138" s="33">
        <v>18.339999999999996</v>
      </c>
      <c r="H138" s="33">
        <v>98</v>
      </c>
      <c r="I138" s="33">
        <f t="shared" si="22"/>
        <v>10.120000000000001</v>
      </c>
      <c r="J138" s="33">
        <f t="shared" si="23"/>
        <v>39</v>
      </c>
      <c r="K138" s="33">
        <f t="shared" si="24"/>
        <v>9.3000000000000007</v>
      </c>
      <c r="L138" s="33">
        <f t="shared" si="25"/>
        <v>18.339999999999996</v>
      </c>
      <c r="M138" s="33">
        <f t="shared" si="26"/>
        <v>98</v>
      </c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ht="15.75" customHeight="1" x14ac:dyDescent="0.5">
      <c r="A139" s="31">
        <v>138</v>
      </c>
      <c r="B139" s="31">
        <f t="shared" si="20"/>
        <v>3</v>
      </c>
      <c r="C139" s="73">
        <f t="shared" si="21"/>
        <v>45133</v>
      </c>
      <c r="D139" s="33">
        <v>58.739999999999995</v>
      </c>
      <c r="E139" s="33">
        <v>28.9</v>
      </c>
      <c r="F139" s="33">
        <v>59.7</v>
      </c>
      <c r="G139" s="33">
        <v>17.939999999999991</v>
      </c>
      <c r="H139" s="33">
        <v>210</v>
      </c>
      <c r="I139" s="33">
        <f t="shared" si="22"/>
        <v>58.739999999999995</v>
      </c>
      <c r="J139" s="33">
        <f t="shared" si="23"/>
        <v>28.9</v>
      </c>
      <c r="K139" s="33">
        <f t="shared" si="24"/>
        <v>59.7</v>
      </c>
      <c r="L139" s="33">
        <f t="shared" si="25"/>
        <v>17.939999999999991</v>
      </c>
      <c r="M139" s="33">
        <f t="shared" si="26"/>
        <v>210</v>
      </c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ht="15.75" customHeight="1" x14ac:dyDescent="0.5">
      <c r="A140" s="31">
        <v>139</v>
      </c>
      <c r="B140" s="31">
        <f t="shared" si="20"/>
        <v>4</v>
      </c>
      <c r="C140" s="73">
        <f t="shared" si="21"/>
        <v>45134</v>
      </c>
      <c r="D140" s="33">
        <v>9.6</v>
      </c>
      <c r="E140" s="33">
        <v>25.9</v>
      </c>
      <c r="F140" s="33">
        <v>20.5</v>
      </c>
      <c r="G140" s="33">
        <v>9.0499999999999989</v>
      </c>
      <c r="H140" s="33">
        <v>109</v>
      </c>
      <c r="I140" s="33">
        <f t="shared" si="22"/>
        <v>9.6</v>
      </c>
      <c r="J140" s="33">
        <f t="shared" si="23"/>
        <v>25.9</v>
      </c>
      <c r="K140" s="33">
        <f t="shared" si="24"/>
        <v>20.5</v>
      </c>
      <c r="L140" s="33">
        <f t="shared" si="25"/>
        <v>9.0499999999999989</v>
      </c>
      <c r="M140" s="33">
        <f t="shared" si="26"/>
        <v>109</v>
      </c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ht="15.75" customHeight="1" x14ac:dyDescent="0.5">
      <c r="A141" s="31">
        <v>140</v>
      </c>
      <c r="B141" s="31">
        <f t="shared" si="20"/>
        <v>5</v>
      </c>
      <c r="C141" s="73">
        <f t="shared" si="21"/>
        <v>45135</v>
      </c>
      <c r="D141" s="33">
        <v>196.98</v>
      </c>
      <c r="E141" s="33">
        <v>43.9</v>
      </c>
      <c r="F141" s="33">
        <v>1.7</v>
      </c>
      <c r="G141" s="33">
        <v>39.76</v>
      </c>
      <c r="H141" s="33">
        <v>227</v>
      </c>
      <c r="I141" s="33">
        <f t="shared" si="22"/>
        <v>96.179999999999993</v>
      </c>
      <c r="J141" s="33">
        <f t="shared" si="23"/>
        <v>43.9</v>
      </c>
      <c r="K141" s="33">
        <f t="shared" si="24"/>
        <v>1.7</v>
      </c>
      <c r="L141" s="33">
        <f t="shared" si="25"/>
        <v>39.76</v>
      </c>
      <c r="M141" s="33">
        <f t="shared" si="26"/>
        <v>227</v>
      </c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ht="15.75" customHeight="1" x14ac:dyDescent="0.5">
      <c r="A142" s="31">
        <v>141</v>
      </c>
      <c r="B142" s="31">
        <f t="shared" si="20"/>
        <v>6</v>
      </c>
      <c r="C142" s="73">
        <f t="shared" si="21"/>
        <v>45136</v>
      </c>
      <c r="D142" s="33">
        <v>20.910000000000004</v>
      </c>
      <c r="E142" s="33">
        <v>17</v>
      </c>
      <c r="F142" s="33">
        <v>12.9</v>
      </c>
      <c r="G142" s="33">
        <v>10.68</v>
      </c>
      <c r="H142" s="33">
        <v>113</v>
      </c>
      <c r="I142" s="33">
        <f t="shared" si="22"/>
        <v>20.910000000000004</v>
      </c>
      <c r="J142" s="33">
        <f t="shared" si="23"/>
        <v>17</v>
      </c>
      <c r="K142" s="33">
        <f t="shared" si="24"/>
        <v>12.9</v>
      </c>
      <c r="L142" s="33">
        <f t="shared" si="25"/>
        <v>10.68</v>
      </c>
      <c r="M142" s="33">
        <f t="shared" si="26"/>
        <v>113</v>
      </c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ht="15.75" customHeight="1" x14ac:dyDescent="0.5">
      <c r="A143" s="31">
        <v>142</v>
      </c>
      <c r="B143" s="31">
        <f t="shared" si="20"/>
        <v>7</v>
      </c>
      <c r="C143" s="73">
        <f t="shared" si="21"/>
        <v>45137</v>
      </c>
      <c r="D143" s="33">
        <v>49.443333333333328</v>
      </c>
      <c r="E143" s="33">
        <v>35.4</v>
      </c>
      <c r="F143" s="33">
        <v>75.599999999999994</v>
      </c>
      <c r="G143" s="33">
        <v>6.8299999999999947</v>
      </c>
      <c r="H143" s="33">
        <v>207</v>
      </c>
      <c r="I143" s="33">
        <f t="shared" si="22"/>
        <v>49.443333333333328</v>
      </c>
      <c r="J143" s="33">
        <f t="shared" si="23"/>
        <v>35.4</v>
      </c>
      <c r="K143" s="33">
        <f t="shared" si="24"/>
        <v>75.599999999999994</v>
      </c>
      <c r="L143" s="33">
        <f t="shared" si="25"/>
        <v>6.8299999999999947</v>
      </c>
      <c r="M143" s="33">
        <f t="shared" si="26"/>
        <v>207</v>
      </c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ht="15.75" customHeight="1" x14ac:dyDescent="0.5">
      <c r="A144" s="31">
        <v>143</v>
      </c>
      <c r="B144" s="31">
        <f t="shared" si="20"/>
        <v>1</v>
      </c>
      <c r="C144" s="73">
        <f t="shared" si="21"/>
        <v>45138</v>
      </c>
      <c r="D144" s="33">
        <v>50.1</v>
      </c>
      <c r="E144" s="33">
        <v>33.200000000000003</v>
      </c>
      <c r="F144" s="33">
        <v>37.9</v>
      </c>
      <c r="G144" s="33">
        <v>23.490000000000006</v>
      </c>
      <c r="H144" s="33">
        <v>218</v>
      </c>
      <c r="I144" s="33">
        <f t="shared" si="22"/>
        <v>50.1</v>
      </c>
      <c r="J144" s="33">
        <f t="shared" si="23"/>
        <v>33.200000000000003</v>
      </c>
      <c r="K144" s="33">
        <f t="shared" si="24"/>
        <v>37.9</v>
      </c>
      <c r="L144" s="33">
        <f t="shared" si="25"/>
        <v>23.490000000000006</v>
      </c>
      <c r="M144" s="33">
        <f t="shared" si="26"/>
        <v>218</v>
      </c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 ht="15.75" customHeight="1" x14ac:dyDescent="0.5">
      <c r="A145" s="31">
        <v>144</v>
      </c>
      <c r="B145" s="31">
        <f t="shared" si="20"/>
        <v>2</v>
      </c>
      <c r="C145" s="73">
        <f t="shared" si="21"/>
        <v>45139</v>
      </c>
      <c r="D145" s="33">
        <v>28.919999999999998</v>
      </c>
      <c r="E145" s="33">
        <v>5.7</v>
      </c>
      <c r="F145" s="33">
        <v>34.4</v>
      </c>
      <c r="G145" s="33">
        <v>19.549999999999997</v>
      </c>
      <c r="H145" s="33">
        <v>144.14285714285714</v>
      </c>
      <c r="I145" s="33">
        <f t="shared" si="22"/>
        <v>28.919999999999998</v>
      </c>
      <c r="J145" s="33">
        <f t="shared" si="23"/>
        <v>5.7</v>
      </c>
      <c r="K145" s="33">
        <f t="shared" si="24"/>
        <v>34.4</v>
      </c>
      <c r="L145" s="33">
        <f t="shared" si="25"/>
        <v>19.549999999999997</v>
      </c>
      <c r="M145" s="33">
        <f t="shared" si="26"/>
        <v>144.14285714285714</v>
      </c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 ht="15.75" customHeight="1" x14ac:dyDescent="0.5">
      <c r="A146" s="31">
        <v>145</v>
      </c>
      <c r="B146" s="31">
        <f t="shared" si="20"/>
        <v>3</v>
      </c>
      <c r="C146" s="73">
        <f t="shared" si="21"/>
        <v>45140</v>
      </c>
      <c r="D146" s="33">
        <v>29.240000000000002</v>
      </c>
      <c r="E146" s="33">
        <v>14.8</v>
      </c>
      <c r="F146" s="33">
        <v>38.9</v>
      </c>
      <c r="G146" s="33">
        <v>1.4600000000000026</v>
      </c>
      <c r="H146" s="33">
        <v>127</v>
      </c>
      <c r="I146" s="33">
        <f t="shared" si="22"/>
        <v>29.240000000000002</v>
      </c>
      <c r="J146" s="33">
        <f t="shared" si="23"/>
        <v>14.8</v>
      </c>
      <c r="K146" s="33">
        <f t="shared" si="24"/>
        <v>38.9</v>
      </c>
      <c r="L146" s="33">
        <f t="shared" si="25"/>
        <v>1.4600000000000026</v>
      </c>
      <c r="M146" s="33">
        <f t="shared" si="26"/>
        <v>127</v>
      </c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 ht="15.75" customHeight="1" x14ac:dyDescent="0.5">
      <c r="A147" s="31">
        <v>146</v>
      </c>
      <c r="B147" s="31">
        <f t="shared" si="20"/>
        <v>4</v>
      </c>
      <c r="C147" s="73">
        <f t="shared" si="21"/>
        <v>45141</v>
      </c>
      <c r="D147" s="33">
        <v>31.060000000000002</v>
      </c>
      <c r="E147" s="33">
        <v>1.9</v>
      </c>
      <c r="F147" s="33">
        <v>9</v>
      </c>
      <c r="G147" s="33">
        <v>11.38</v>
      </c>
      <c r="H147" s="33">
        <v>123</v>
      </c>
      <c r="I147" s="33">
        <f t="shared" si="22"/>
        <v>31.060000000000002</v>
      </c>
      <c r="J147" s="33">
        <f t="shared" si="23"/>
        <v>1.9</v>
      </c>
      <c r="K147" s="33">
        <f t="shared" si="24"/>
        <v>9</v>
      </c>
      <c r="L147" s="33">
        <f t="shared" si="25"/>
        <v>11.38</v>
      </c>
      <c r="M147" s="33">
        <f t="shared" si="26"/>
        <v>123</v>
      </c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 ht="15.75" customHeight="1" x14ac:dyDescent="0.5">
      <c r="A148" s="31">
        <v>147</v>
      </c>
      <c r="B148" s="31">
        <f t="shared" si="20"/>
        <v>5</v>
      </c>
      <c r="C148" s="73">
        <f t="shared" si="21"/>
        <v>45142</v>
      </c>
      <c r="D148" s="33">
        <v>55.019999999999996</v>
      </c>
      <c r="E148" s="33">
        <v>7.3</v>
      </c>
      <c r="F148" s="33">
        <v>8.6999999999999993</v>
      </c>
      <c r="G148" s="33">
        <v>24.179999999999996</v>
      </c>
      <c r="H148" s="33">
        <v>142</v>
      </c>
      <c r="I148" s="33">
        <f t="shared" si="22"/>
        <v>55.019999999999996</v>
      </c>
      <c r="J148" s="33">
        <f t="shared" si="23"/>
        <v>7.3</v>
      </c>
      <c r="K148" s="33">
        <f t="shared" si="24"/>
        <v>8.6999999999999993</v>
      </c>
      <c r="L148" s="33">
        <f t="shared" si="25"/>
        <v>24.179999999999996</v>
      </c>
      <c r="M148" s="33">
        <f t="shared" si="26"/>
        <v>142</v>
      </c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 ht="15.75" customHeight="1" x14ac:dyDescent="0.5">
      <c r="A149" s="31">
        <v>148</v>
      </c>
      <c r="B149" s="31">
        <f t="shared" si="20"/>
        <v>6</v>
      </c>
      <c r="C149" s="73">
        <f t="shared" si="21"/>
        <v>45143</v>
      </c>
      <c r="D149" s="33">
        <v>50.64</v>
      </c>
      <c r="E149" s="33">
        <v>49</v>
      </c>
      <c r="F149" s="33">
        <v>44.3</v>
      </c>
      <c r="G149" s="33">
        <v>31.1</v>
      </c>
      <c r="H149" s="33">
        <v>265</v>
      </c>
      <c r="I149" s="33">
        <f t="shared" si="22"/>
        <v>50.64</v>
      </c>
      <c r="J149" s="33">
        <f t="shared" si="23"/>
        <v>49</v>
      </c>
      <c r="K149" s="33">
        <f t="shared" si="24"/>
        <v>44.3</v>
      </c>
      <c r="L149" s="33">
        <f t="shared" si="25"/>
        <v>31.1</v>
      </c>
      <c r="M149" s="33">
        <f t="shared" si="26"/>
        <v>265</v>
      </c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 ht="15.75" customHeight="1" x14ac:dyDescent="0.5">
      <c r="A150" s="31">
        <v>149</v>
      </c>
      <c r="B150" s="31">
        <f t="shared" si="20"/>
        <v>7</v>
      </c>
      <c r="C150" s="73">
        <f t="shared" si="21"/>
        <v>45144</v>
      </c>
      <c r="D150" s="33">
        <v>15.6</v>
      </c>
      <c r="E150" s="33">
        <v>40.299999999999997</v>
      </c>
      <c r="F150" s="33">
        <v>11.9</v>
      </c>
      <c r="G150" s="33">
        <v>19.189999999999998</v>
      </c>
      <c r="H150" s="33">
        <v>110</v>
      </c>
      <c r="I150" s="33">
        <f t="shared" si="22"/>
        <v>15.6</v>
      </c>
      <c r="J150" s="33">
        <f t="shared" si="23"/>
        <v>40.299999999999997</v>
      </c>
      <c r="K150" s="33">
        <f t="shared" si="24"/>
        <v>11.9</v>
      </c>
      <c r="L150" s="33">
        <f t="shared" si="25"/>
        <v>19.189999999999998</v>
      </c>
      <c r="M150" s="33">
        <f t="shared" si="26"/>
        <v>110</v>
      </c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 ht="15.75" customHeight="1" x14ac:dyDescent="0.5">
      <c r="A151" s="31">
        <v>150</v>
      </c>
      <c r="B151" s="31">
        <f t="shared" si="20"/>
        <v>1</v>
      </c>
      <c r="C151" s="73">
        <f t="shared" si="21"/>
        <v>45145</v>
      </c>
      <c r="D151" s="33">
        <v>164</v>
      </c>
      <c r="E151" s="33">
        <v>25.8</v>
      </c>
      <c r="F151" s="33">
        <v>20.6</v>
      </c>
      <c r="G151" s="33">
        <v>9.1300000000000008</v>
      </c>
      <c r="H151" s="33">
        <v>118</v>
      </c>
      <c r="I151" s="33">
        <f t="shared" si="22"/>
        <v>96.179999999999993</v>
      </c>
      <c r="J151" s="33">
        <f t="shared" si="23"/>
        <v>25.8</v>
      </c>
      <c r="K151" s="33">
        <f t="shared" si="24"/>
        <v>20.6</v>
      </c>
      <c r="L151" s="33">
        <f t="shared" si="25"/>
        <v>9.1300000000000008</v>
      </c>
      <c r="M151" s="33">
        <f t="shared" si="26"/>
        <v>118</v>
      </c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 ht="15.75" customHeight="1" x14ac:dyDescent="0.5">
      <c r="A152" s="31">
        <v>151</v>
      </c>
      <c r="B152" s="31">
        <f t="shared" si="20"/>
        <v>2</v>
      </c>
      <c r="C152" s="73">
        <f t="shared" si="21"/>
        <v>45146</v>
      </c>
      <c r="D152" s="33">
        <v>66.14</v>
      </c>
      <c r="E152" s="33">
        <v>13.9</v>
      </c>
      <c r="F152" s="33">
        <v>37</v>
      </c>
      <c r="G152" s="33">
        <v>20.220000000000002</v>
      </c>
      <c r="H152" s="33">
        <v>166</v>
      </c>
      <c r="I152" s="33">
        <f t="shared" si="22"/>
        <v>66.14</v>
      </c>
      <c r="J152" s="33">
        <f t="shared" si="23"/>
        <v>13.9</v>
      </c>
      <c r="K152" s="33">
        <f t="shared" si="24"/>
        <v>37</v>
      </c>
      <c r="L152" s="33">
        <f t="shared" si="25"/>
        <v>20.220000000000002</v>
      </c>
      <c r="M152" s="33">
        <f t="shared" si="26"/>
        <v>166</v>
      </c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 ht="15.75" customHeight="1" x14ac:dyDescent="0.5">
      <c r="A153" s="31">
        <v>152</v>
      </c>
      <c r="B153" s="31">
        <f t="shared" si="20"/>
        <v>3</v>
      </c>
      <c r="C153" s="73">
        <f t="shared" si="21"/>
        <v>45147</v>
      </c>
      <c r="D153" s="33">
        <v>31.2</v>
      </c>
      <c r="E153" s="33">
        <v>8.4</v>
      </c>
      <c r="F153" s="33">
        <v>48.7</v>
      </c>
      <c r="G153" s="33">
        <v>16.819999999999997</v>
      </c>
      <c r="H153" s="33">
        <v>125</v>
      </c>
      <c r="I153" s="33">
        <f t="shared" si="22"/>
        <v>31.2</v>
      </c>
      <c r="J153" s="33">
        <f t="shared" si="23"/>
        <v>8.4</v>
      </c>
      <c r="K153" s="33">
        <f t="shared" si="24"/>
        <v>48.7</v>
      </c>
      <c r="L153" s="33">
        <f t="shared" si="25"/>
        <v>16.819999999999997</v>
      </c>
      <c r="M153" s="33">
        <f t="shared" si="26"/>
        <v>125</v>
      </c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 ht="15.75" customHeight="1" x14ac:dyDescent="0.5">
      <c r="A154" s="31">
        <v>153</v>
      </c>
      <c r="B154" s="31">
        <f t="shared" si="20"/>
        <v>4</v>
      </c>
      <c r="C154" s="73">
        <f t="shared" si="21"/>
        <v>45148</v>
      </c>
      <c r="D154" s="33">
        <v>40.519999999999996</v>
      </c>
      <c r="E154" s="33">
        <v>23.3</v>
      </c>
      <c r="F154" s="33">
        <v>14.2</v>
      </c>
      <c r="G154" s="33">
        <v>25.729999999999997</v>
      </c>
      <c r="H154" s="33">
        <v>169</v>
      </c>
      <c r="I154" s="33">
        <f t="shared" si="22"/>
        <v>40.519999999999996</v>
      </c>
      <c r="J154" s="33">
        <f t="shared" si="23"/>
        <v>23.3</v>
      </c>
      <c r="K154" s="33">
        <f t="shared" si="24"/>
        <v>14.2</v>
      </c>
      <c r="L154" s="33">
        <f t="shared" si="25"/>
        <v>25.729999999999997</v>
      </c>
      <c r="M154" s="33">
        <f t="shared" si="26"/>
        <v>169</v>
      </c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 ht="15.75" customHeight="1" x14ac:dyDescent="0.5">
      <c r="A155" s="31">
        <v>154</v>
      </c>
      <c r="B155" s="31">
        <f t="shared" si="20"/>
        <v>5</v>
      </c>
      <c r="C155" s="73">
        <f t="shared" si="21"/>
        <v>45149</v>
      </c>
      <c r="D155" s="33">
        <v>37.260000000000005</v>
      </c>
      <c r="E155" s="33">
        <v>39.700000000000003</v>
      </c>
      <c r="F155" s="33">
        <v>37.700000000000003</v>
      </c>
      <c r="G155" s="33">
        <v>21.900000000000002</v>
      </c>
      <c r="H155" s="33">
        <v>208</v>
      </c>
      <c r="I155" s="33">
        <f t="shared" si="22"/>
        <v>37.260000000000005</v>
      </c>
      <c r="J155" s="33">
        <f t="shared" si="23"/>
        <v>39.700000000000003</v>
      </c>
      <c r="K155" s="33">
        <f t="shared" si="24"/>
        <v>37.700000000000003</v>
      </c>
      <c r="L155" s="33">
        <f t="shared" si="25"/>
        <v>21.900000000000002</v>
      </c>
      <c r="M155" s="33">
        <f t="shared" si="26"/>
        <v>208</v>
      </c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 ht="15.75" customHeight="1" x14ac:dyDescent="0.5">
      <c r="A156" s="31">
        <v>155</v>
      </c>
      <c r="B156" s="31">
        <f t="shared" si="20"/>
        <v>6</v>
      </c>
      <c r="C156" s="73">
        <f t="shared" si="21"/>
        <v>45150</v>
      </c>
      <c r="D156" s="33">
        <v>43.56</v>
      </c>
      <c r="E156" s="33">
        <v>21.1</v>
      </c>
      <c r="F156" s="33">
        <v>9.5</v>
      </c>
      <c r="G156" s="33">
        <v>25.53</v>
      </c>
      <c r="H156" s="33">
        <v>166</v>
      </c>
      <c r="I156" s="33">
        <f t="shared" si="22"/>
        <v>43.56</v>
      </c>
      <c r="J156" s="33">
        <f t="shared" si="23"/>
        <v>21.1</v>
      </c>
      <c r="K156" s="33">
        <f t="shared" si="24"/>
        <v>9.5</v>
      </c>
      <c r="L156" s="33">
        <f t="shared" si="25"/>
        <v>25.53</v>
      </c>
      <c r="M156" s="33">
        <f t="shared" si="26"/>
        <v>166</v>
      </c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 ht="15.75" customHeight="1" x14ac:dyDescent="0.5">
      <c r="A157" s="31">
        <v>156</v>
      </c>
      <c r="B157" s="31">
        <f t="shared" si="20"/>
        <v>7</v>
      </c>
      <c r="C157" s="73">
        <f t="shared" si="21"/>
        <v>45151</v>
      </c>
      <c r="D157" s="33">
        <v>9.82</v>
      </c>
      <c r="E157" s="33">
        <v>11.6</v>
      </c>
      <c r="F157" s="33">
        <v>5.7</v>
      </c>
      <c r="G157" s="33">
        <v>92</v>
      </c>
      <c r="H157" s="33">
        <v>35</v>
      </c>
      <c r="I157" s="33">
        <f t="shared" si="22"/>
        <v>9.82</v>
      </c>
      <c r="J157" s="33">
        <f t="shared" si="23"/>
        <v>11.6</v>
      </c>
      <c r="K157" s="33">
        <f t="shared" si="24"/>
        <v>5.7</v>
      </c>
      <c r="L157" s="33">
        <f t="shared" si="25"/>
        <v>41.756249999999994</v>
      </c>
      <c r="M157" s="33">
        <f t="shared" si="26"/>
        <v>35</v>
      </c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 ht="15.75" customHeight="1" x14ac:dyDescent="0.5">
      <c r="A158" s="31">
        <v>157</v>
      </c>
      <c r="B158" s="31">
        <f t="shared" si="20"/>
        <v>1</v>
      </c>
      <c r="C158" s="73">
        <f t="shared" si="21"/>
        <v>45152</v>
      </c>
      <c r="D158" s="33">
        <v>25.78</v>
      </c>
      <c r="E158" s="33">
        <v>43.5</v>
      </c>
      <c r="F158" s="33">
        <v>50.5</v>
      </c>
      <c r="G158" s="33">
        <v>10.939999999999998</v>
      </c>
      <c r="H158" s="33">
        <v>173</v>
      </c>
      <c r="I158" s="33">
        <f t="shared" si="22"/>
        <v>25.78</v>
      </c>
      <c r="J158" s="33">
        <f t="shared" si="23"/>
        <v>43.5</v>
      </c>
      <c r="K158" s="33">
        <f t="shared" si="24"/>
        <v>50.5</v>
      </c>
      <c r="L158" s="33">
        <f t="shared" si="25"/>
        <v>10.939999999999998</v>
      </c>
      <c r="M158" s="33">
        <f t="shared" si="26"/>
        <v>173</v>
      </c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 ht="15.75" customHeight="1" x14ac:dyDescent="0.5">
      <c r="A159" s="31">
        <v>158</v>
      </c>
      <c r="B159" s="31">
        <f t="shared" si="20"/>
        <v>2</v>
      </c>
      <c r="C159" s="73">
        <f t="shared" si="21"/>
        <v>45153</v>
      </c>
      <c r="D159" s="33">
        <v>39.96</v>
      </c>
      <c r="E159" s="33">
        <v>1.3</v>
      </c>
      <c r="F159" s="33">
        <v>24.3</v>
      </c>
      <c r="G159" s="33">
        <v>5.91</v>
      </c>
      <c r="H159" s="33">
        <v>111</v>
      </c>
      <c r="I159" s="33">
        <f t="shared" si="22"/>
        <v>39.96</v>
      </c>
      <c r="J159" s="33">
        <f t="shared" si="23"/>
        <v>1.3</v>
      </c>
      <c r="K159" s="33">
        <f t="shared" si="24"/>
        <v>24.3</v>
      </c>
      <c r="L159" s="33">
        <f t="shared" si="25"/>
        <v>5.91</v>
      </c>
      <c r="M159" s="33">
        <f t="shared" si="26"/>
        <v>111</v>
      </c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 ht="15.75" customHeight="1" x14ac:dyDescent="0.5">
      <c r="A160" s="31">
        <v>159</v>
      </c>
      <c r="B160" s="31">
        <f t="shared" si="20"/>
        <v>3</v>
      </c>
      <c r="C160" s="73">
        <f t="shared" si="21"/>
        <v>45154</v>
      </c>
      <c r="D160" s="33">
        <v>12.34</v>
      </c>
      <c r="E160" s="33">
        <v>36.9</v>
      </c>
      <c r="F160" s="33">
        <v>45.2</v>
      </c>
      <c r="G160" s="33">
        <v>1.5399999999999956</v>
      </c>
      <c r="H160" s="33">
        <v>85</v>
      </c>
      <c r="I160" s="33">
        <f t="shared" si="22"/>
        <v>12.34</v>
      </c>
      <c r="J160" s="33">
        <f t="shared" si="23"/>
        <v>36.9</v>
      </c>
      <c r="K160" s="33">
        <f t="shared" si="24"/>
        <v>45.2</v>
      </c>
      <c r="L160" s="33">
        <f t="shared" si="25"/>
        <v>1.5399999999999956</v>
      </c>
      <c r="M160" s="33">
        <f t="shared" si="26"/>
        <v>85</v>
      </c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 ht="15.75" customHeight="1" x14ac:dyDescent="0.5">
      <c r="A161" s="31">
        <v>160</v>
      </c>
      <c r="B161" s="31">
        <f t="shared" si="20"/>
        <v>4</v>
      </c>
      <c r="C161" s="73">
        <f t="shared" si="21"/>
        <v>45155</v>
      </c>
      <c r="D161" s="33">
        <v>32.339999999999996</v>
      </c>
      <c r="E161" s="33">
        <v>18.399999999999999</v>
      </c>
      <c r="F161" s="33">
        <v>34.6</v>
      </c>
      <c r="G161" s="33">
        <v>8.5299999999999958</v>
      </c>
      <c r="H161" s="33">
        <v>138</v>
      </c>
      <c r="I161" s="33">
        <f t="shared" si="22"/>
        <v>32.339999999999996</v>
      </c>
      <c r="J161" s="33">
        <f t="shared" si="23"/>
        <v>18.399999999999999</v>
      </c>
      <c r="K161" s="33">
        <f t="shared" si="24"/>
        <v>34.6</v>
      </c>
      <c r="L161" s="33">
        <f t="shared" si="25"/>
        <v>8.5299999999999958</v>
      </c>
      <c r="M161" s="33">
        <f t="shared" si="26"/>
        <v>138</v>
      </c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 ht="15.75" customHeight="1" x14ac:dyDescent="0.5">
      <c r="A162" s="31">
        <v>161</v>
      </c>
      <c r="B162" s="31">
        <f t="shared" ref="B162:B193" si="27">WEEKDAY(C162,2)</f>
        <v>5</v>
      </c>
      <c r="C162" s="73">
        <f t="shared" ref="C162:C193" si="28">+C163-1</f>
        <v>45156</v>
      </c>
      <c r="D162" s="33">
        <v>44.5</v>
      </c>
      <c r="E162" s="33">
        <v>18.100000000000001</v>
      </c>
      <c r="F162" s="33">
        <v>30.7</v>
      </c>
      <c r="G162" s="33">
        <v>14.02</v>
      </c>
      <c r="H162" s="33">
        <v>159</v>
      </c>
      <c r="I162" s="33">
        <f t="shared" si="22"/>
        <v>44.5</v>
      </c>
      <c r="J162" s="33">
        <f t="shared" si="23"/>
        <v>18.100000000000001</v>
      </c>
      <c r="K162" s="33">
        <f t="shared" si="24"/>
        <v>30.7</v>
      </c>
      <c r="L162" s="33">
        <f t="shared" si="25"/>
        <v>14.02</v>
      </c>
      <c r="M162" s="33">
        <f t="shared" si="26"/>
        <v>159</v>
      </c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ht="15.75" customHeight="1" x14ac:dyDescent="0.5">
      <c r="A163" s="31">
        <v>162</v>
      </c>
      <c r="B163" s="31">
        <f t="shared" si="27"/>
        <v>6</v>
      </c>
      <c r="C163" s="73">
        <f t="shared" si="28"/>
        <v>45157</v>
      </c>
      <c r="D163" s="33">
        <v>19.14</v>
      </c>
      <c r="E163" s="33">
        <v>35.799999999999997</v>
      </c>
      <c r="F163" s="33">
        <v>49.3</v>
      </c>
      <c r="G163" s="33">
        <v>6.75</v>
      </c>
      <c r="H163" s="33">
        <v>151</v>
      </c>
      <c r="I163" s="33">
        <f t="shared" si="22"/>
        <v>19.14</v>
      </c>
      <c r="J163" s="33">
        <f t="shared" si="23"/>
        <v>35.799999999999997</v>
      </c>
      <c r="K163" s="33">
        <f t="shared" si="24"/>
        <v>49.3</v>
      </c>
      <c r="L163" s="33">
        <f t="shared" si="25"/>
        <v>6.75</v>
      </c>
      <c r="M163" s="33">
        <f t="shared" si="26"/>
        <v>151</v>
      </c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 ht="15.75" customHeight="1" x14ac:dyDescent="0.5">
      <c r="A164" s="31">
        <v>163</v>
      </c>
      <c r="B164" s="31">
        <f t="shared" si="27"/>
        <v>7</v>
      </c>
      <c r="C164" s="73">
        <f t="shared" si="28"/>
        <v>45158</v>
      </c>
      <c r="D164" s="33">
        <v>42.68</v>
      </c>
      <c r="E164" s="33">
        <v>23.450000000000003</v>
      </c>
      <c r="F164" s="33">
        <v>25.9</v>
      </c>
      <c r="G164" s="33">
        <v>17.649999999999999</v>
      </c>
      <c r="H164" s="33">
        <v>168</v>
      </c>
      <c r="I164" s="33">
        <f t="shared" si="22"/>
        <v>42.68</v>
      </c>
      <c r="J164" s="33">
        <f t="shared" si="23"/>
        <v>23.450000000000003</v>
      </c>
      <c r="K164" s="33">
        <f t="shared" si="24"/>
        <v>25.9</v>
      </c>
      <c r="L164" s="33">
        <f t="shared" si="25"/>
        <v>17.649999999999999</v>
      </c>
      <c r="M164" s="33">
        <f t="shared" si="26"/>
        <v>168</v>
      </c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 ht="15.75" customHeight="1" x14ac:dyDescent="0.5">
      <c r="A165" s="31">
        <v>164</v>
      </c>
      <c r="B165" s="31">
        <f t="shared" si="27"/>
        <v>1</v>
      </c>
      <c r="C165" s="73">
        <f t="shared" si="28"/>
        <v>45159</v>
      </c>
      <c r="D165" s="33">
        <v>33.700000000000003</v>
      </c>
      <c r="E165" s="33">
        <v>36.799999999999997</v>
      </c>
      <c r="F165" s="33">
        <v>7.4</v>
      </c>
      <c r="G165" s="33">
        <v>31.79</v>
      </c>
      <c r="H165" s="33">
        <v>193</v>
      </c>
      <c r="I165" s="33">
        <f t="shared" si="22"/>
        <v>33.700000000000003</v>
      </c>
      <c r="J165" s="33">
        <f t="shared" si="23"/>
        <v>36.799999999999997</v>
      </c>
      <c r="K165" s="33">
        <f t="shared" si="24"/>
        <v>7.4</v>
      </c>
      <c r="L165" s="33">
        <f t="shared" si="25"/>
        <v>31.79</v>
      </c>
      <c r="M165" s="33">
        <f t="shared" si="26"/>
        <v>193</v>
      </c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 ht="15.75" customHeight="1" x14ac:dyDescent="0.5">
      <c r="A166" s="31">
        <v>165</v>
      </c>
      <c r="B166" s="31">
        <f t="shared" si="27"/>
        <v>2</v>
      </c>
      <c r="C166" s="73">
        <f t="shared" si="28"/>
        <v>45160</v>
      </c>
      <c r="D166" s="33">
        <v>28.44</v>
      </c>
      <c r="E166" s="33">
        <v>14.7</v>
      </c>
      <c r="F166" s="33">
        <v>5.4</v>
      </c>
      <c r="G166" s="33">
        <v>16.91</v>
      </c>
      <c r="H166" s="33">
        <v>132</v>
      </c>
      <c r="I166" s="33">
        <f t="shared" si="22"/>
        <v>28.44</v>
      </c>
      <c r="J166" s="33">
        <f t="shared" si="23"/>
        <v>14.7</v>
      </c>
      <c r="K166" s="33">
        <f t="shared" si="24"/>
        <v>5.4</v>
      </c>
      <c r="L166" s="33">
        <f t="shared" si="25"/>
        <v>16.91</v>
      </c>
      <c r="M166" s="33">
        <f t="shared" si="26"/>
        <v>132</v>
      </c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 ht="15.75" customHeight="1" x14ac:dyDescent="0.5">
      <c r="A167" s="31">
        <v>166</v>
      </c>
      <c r="B167" s="31">
        <f t="shared" si="27"/>
        <v>3</v>
      </c>
      <c r="C167" s="73">
        <f t="shared" si="28"/>
        <v>45161</v>
      </c>
      <c r="D167" s="33">
        <v>56.9</v>
      </c>
      <c r="E167" s="33">
        <v>3.4</v>
      </c>
      <c r="F167" s="33">
        <v>84.8</v>
      </c>
      <c r="G167" s="33">
        <v>11.229999999999997</v>
      </c>
      <c r="H167" s="33">
        <v>131</v>
      </c>
      <c r="I167" s="33">
        <f t="shared" si="22"/>
        <v>56.9</v>
      </c>
      <c r="J167" s="33">
        <f t="shared" si="23"/>
        <v>3.4</v>
      </c>
      <c r="K167" s="33">
        <f t="shared" si="24"/>
        <v>84.8</v>
      </c>
      <c r="L167" s="33">
        <f t="shared" si="25"/>
        <v>11.229999999999997</v>
      </c>
      <c r="M167" s="33">
        <f t="shared" si="26"/>
        <v>131</v>
      </c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1:23" ht="15.75" customHeight="1" x14ac:dyDescent="0.5">
      <c r="A168" s="31">
        <v>167</v>
      </c>
      <c r="B168" s="31">
        <f t="shared" si="27"/>
        <v>4</v>
      </c>
      <c r="C168" s="73">
        <f t="shared" si="28"/>
        <v>45162</v>
      </c>
      <c r="D168" s="33">
        <v>11.58</v>
      </c>
      <c r="E168" s="33">
        <v>37.6</v>
      </c>
      <c r="F168" s="33">
        <v>21.6</v>
      </c>
      <c r="G168" s="33">
        <v>11.95</v>
      </c>
      <c r="H168" s="33">
        <v>90</v>
      </c>
      <c r="I168" s="33">
        <f t="shared" si="22"/>
        <v>11.58</v>
      </c>
      <c r="J168" s="33">
        <f t="shared" si="23"/>
        <v>37.6</v>
      </c>
      <c r="K168" s="33">
        <f t="shared" si="24"/>
        <v>21.6</v>
      </c>
      <c r="L168" s="33">
        <f t="shared" si="25"/>
        <v>11.95</v>
      </c>
      <c r="M168" s="33">
        <f t="shared" si="26"/>
        <v>90</v>
      </c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1:23" ht="15.75" customHeight="1" x14ac:dyDescent="0.5">
      <c r="A169" s="31">
        <v>168</v>
      </c>
      <c r="B169" s="31">
        <f t="shared" si="27"/>
        <v>5</v>
      </c>
      <c r="C169" s="73">
        <f t="shared" si="28"/>
        <v>45163</v>
      </c>
      <c r="D169" s="33">
        <v>48.36</v>
      </c>
      <c r="E169" s="33">
        <v>5.2</v>
      </c>
      <c r="F169" s="33">
        <v>19.399999999999999</v>
      </c>
      <c r="G169" s="33">
        <v>15.520000000000001</v>
      </c>
      <c r="H169" s="33">
        <v>129</v>
      </c>
      <c r="I169" s="33">
        <f t="shared" si="22"/>
        <v>48.36</v>
      </c>
      <c r="J169" s="33">
        <f t="shared" si="23"/>
        <v>5.2</v>
      </c>
      <c r="K169" s="33">
        <f t="shared" si="24"/>
        <v>19.399999999999999</v>
      </c>
      <c r="L169" s="33">
        <f t="shared" si="25"/>
        <v>15.520000000000001</v>
      </c>
      <c r="M169" s="33">
        <f t="shared" si="26"/>
        <v>129</v>
      </c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1:23" ht="15.75" customHeight="1" x14ac:dyDescent="0.5">
      <c r="A170" s="31">
        <v>169</v>
      </c>
      <c r="B170" s="31">
        <f t="shared" si="27"/>
        <v>6</v>
      </c>
      <c r="C170" s="73">
        <f t="shared" si="28"/>
        <v>45164</v>
      </c>
      <c r="D170" s="33">
        <v>45.08</v>
      </c>
      <c r="E170" s="33">
        <v>23.6</v>
      </c>
      <c r="F170" s="33">
        <v>57.6</v>
      </c>
      <c r="G170" s="33">
        <v>10.3</v>
      </c>
      <c r="H170" s="33">
        <v>185</v>
      </c>
      <c r="I170" s="33">
        <f t="shared" si="22"/>
        <v>45.08</v>
      </c>
      <c r="J170" s="33">
        <f t="shared" si="23"/>
        <v>23.6</v>
      </c>
      <c r="K170" s="33">
        <f t="shared" si="24"/>
        <v>57.6</v>
      </c>
      <c r="L170" s="33">
        <f t="shared" si="25"/>
        <v>10.3</v>
      </c>
      <c r="M170" s="33">
        <f t="shared" si="26"/>
        <v>185</v>
      </c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1:23" ht="15.75" customHeight="1" x14ac:dyDescent="0.5">
      <c r="A171" s="31">
        <v>170</v>
      </c>
      <c r="B171" s="31">
        <f t="shared" si="27"/>
        <v>7</v>
      </c>
      <c r="C171" s="73">
        <f t="shared" si="28"/>
        <v>45165</v>
      </c>
      <c r="D171" s="33">
        <v>60.86</v>
      </c>
      <c r="E171" s="33">
        <v>10.6</v>
      </c>
      <c r="F171" s="33">
        <v>6.4</v>
      </c>
      <c r="G171" s="33">
        <v>31.169999999999995</v>
      </c>
      <c r="H171" s="33">
        <v>162</v>
      </c>
      <c r="I171" s="33">
        <f t="shared" si="22"/>
        <v>60.86</v>
      </c>
      <c r="J171" s="33">
        <f t="shared" si="23"/>
        <v>10.6</v>
      </c>
      <c r="K171" s="33">
        <f t="shared" si="24"/>
        <v>6.4</v>
      </c>
      <c r="L171" s="33">
        <f t="shared" si="25"/>
        <v>31.169999999999995</v>
      </c>
      <c r="M171" s="33">
        <f t="shared" si="26"/>
        <v>162</v>
      </c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1:23" ht="15.75" customHeight="1" x14ac:dyDescent="0.5">
      <c r="A172" s="31">
        <v>171</v>
      </c>
      <c r="B172" s="31">
        <f t="shared" si="27"/>
        <v>1</v>
      </c>
      <c r="C172" s="73">
        <f t="shared" si="28"/>
        <v>45166</v>
      </c>
      <c r="D172" s="33">
        <v>12</v>
      </c>
      <c r="E172" s="33">
        <v>11.6</v>
      </c>
      <c r="F172" s="33">
        <v>18.399999999999999</v>
      </c>
      <c r="G172" s="33">
        <v>3.4400000000000013</v>
      </c>
      <c r="H172" s="33">
        <v>90</v>
      </c>
      <c r="I172" s="33">
        <f t="shared" si="22"/>
        <v>12</v>
      </c>
      <c r="J172" s="33">
        <f t="shared" si="23"/>
        <v>11.6</v>
      </c>
      <c r="K172" s="33">
        <f t="shared" si="24"/>
        <v>18.399999999999999</v>
      </c>
      <c r="L172" s="33">
        <f t="shared" si="25"/>
        <v>3.4400000000000013</v>
      </c>
      <c r="M172" s="33">
        <f t="shared" si="26"/>
        <v>90</v>
      </c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1:23" ht="15.75" customHeight="1" x14ac:dyDescent="0.5">
      <c r="A173" s="31">
        <v>172</v>
      </c>
      <c r="B173" s="31">
        <f t="shared" si="27"/>
        <v>2</v>
      </c>
      <c r="C173" s="73">
        <f t="shared" si="28"/>
        <v>45167</v>
      </c>
      <c r="D173" s="33">
        <v>42.9</v>
      </c>
      <c r="E173" s="33">
        <v>20.9</v>
      </c>
      <c r="F173" s="33">
        <v>47.4</v>
      </c>
      <c r="G173" s="33">
        <v>7.9399999999999977</v>
      </c>
      <c r="H173" s="33">
        <v>163</v>
      </c>
      <c r="I173" s="33">
        <f t="shared" si="22"/>
        <v>42.9</v>
      </c>
      <c r="J173" s="33">
        <f t="shared" si="23"/>
        <v>20.9</v>
      </c>
      <c r="K173" s="33">
        <f t="shared" si="24"/>
        <v>47.4</v>
      </c>
      <c r="L173" s="33">
        <f t="shared" si="25"/>
        <v>7.9399999999999977</v>
      </c>
      <c r="M173" s="33">
        <f t="shared" si="26"/>
        <v>163</v>
      </c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1:23" ht="15.75" customHeight="1" x14ac:dyDescent="0.5">
      <c r="A174" s="31">
        <v>173</v>
      </c>
      <c r="B174" s="31">
        <f t="shared" si="27"/>
        <v>3</v>
      </c>
      <c r="C174" s="73">
        <f t="shared" si="28"/>
        <v>45168</v>
      </c>
      <c r="D174" s="33">
        <v>9.92</v>
      </c>
      <c r="E174" s="33">
        <v>20.100000000000001</v>
      </c>
      <c r="F174" s="33">
        <v>17</v>
      </c>
      <c r="G174" s="33">
        <v>5.2100000000000009</v>
      </c>
      <c r="H174" s="33">
        <v>93</v>
      </c>
      <c r="I174" s="33">
        <f t="shared" si="22"/>
        <v>9.92</v>
      </c>
      <c r="J174" s="33">
        <f t="shared" si="23"/>
        <v>20.100000000000001</v>
      </c>
      <c r="K174" s="33">
        <f t="shared" si="24"/>
        <v>17</v>
      </c>
      <c r="L174" s="33">
        <f t="shared" si="25"/>
        <v>5.2100000000000009</v>
      </c>
      <c r="M174" s="33">
        <f t="shared" si="26"/>
        <v>93</v>
      </c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1:23" ht="15.75" customHeight="1" x14ac:dyDescent="0.5">
      <c r="A175" s="31">
        <v>174</v>
      </c>
      <c r="B175" s="31">
        <f t="shared" si="27"/>
        <v>4</v>
      </c>
      <c r="C175" s="73">
        <f t="shared" si="28"/>
        <v>45169</v>
      </c>
      <c r="D175" s="33">
        <v>36.68</v>
      </c>
      <c r="E175" s="33">
        <v>7.1</v>
      </c>
      <c r="F175" s="33">
        <v>12.8</v>
      </c>
      <c r="G175" s="33">
        <v>15.27</v>
      </c>
      <c r="H175" s="33">
        <v>129</v>
      </c>
      <c r="I175" s="33">
        <f t="shared" si="22"/>
        <v>36.68</v>
      </c>
      <c r="J175" s="33">
        <f t="shared" si="23"/>
        <v>7.1</v>
      </c>
      <c r="K175" s="33">
        <f t="shared" si="24"/>
        <v>12.8</v>
      </c>
      <c r="L175" s="33">
        <f t="shared" si="25"/>
        <v>15.27</v>
      </c>
      <c r="M175" s="33">
        <f t="shared" si="26"/>
        <v>129</v>
      </c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1:23" ht="15.75" customHeight="1" x14ac:dyDescent="0.5">
      <c r="A176" s="31">
        <v>175</v>
      </c>
      <c r="B176" s="31">
        <f t="shared" si="27"/>
        <v>5</v>
      </c>
      <c r="C176" s="73">
        <f t="shared" si="28"/>
        <v>45170</v>
      </c>
      <c r="D176" s="33">
        <v>53.480000000000004</v>
      </c>
      <c r="E176" s="33">
        <v>3.4</v>
      </c>
      <c r="F176" s="33">
        <v>13.1</v>
      </c>
      <c r="G176" s="33">
        <v>18.700000000000003</v>
      </c>
      <c r="H176" s="33">
        <v>127</v>
      </c>
      <c r="I176" s="33">
        <f t="shared" si="22"/>
        <v>53.480000000000004</v>
      </c>
      <c r="J176" s="33">
        <f t="shared" si="23"/>
        <v>3.4</v>
      </c>
      <c r="K176" s="33">
        <f t="shared" si="24"/>
        <v>13.1</v>
      </c>
      <c r="L176" s="33">
        <f t="shared" si="25"/>
        <v>18.700000000000003</v>
      </c>
      <c r="M176" s="33">
        <f t="shared" si="26"/>
        <v>127</v>
      </c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1:23" ht="15.75" customHeight="1" x14ac:dyDescent="0.5">
      <c r="A177" s="31">
        <v>176</v>
      </c>
      <c r="B177" s="31">
        <f t="shared" si="27"/>
        <v>6</v>
      </c>
      <c r="C177" s="73">
        <f t="shared" si="28"/>
        <v>45171</v>
      </c>
      <c r="D177" s="33">
        <v>64.38</v>
      </c>
      <c r="E177" s="33">
        <v>48.9</v>
      </c>
      <c r="F177" s="33">
        <v>41.8</v>
      </c>
      <c r="G177" s="33">
        <v>35.42</v>
      </c>
      <c r="H177" s="33">
        <v>271</v>
      </c>
      <c r="I177" s="33">
        <f t="shared" si="22"/>
        <v>64.38</v>
      </c>
      <c r="J177" s="33">
        <f t="shared" si="23"/>
        <v>48.9</v>
      </c>
      <c r="K177" s="33">
        <f t="shared" si="24"/>
        <v>41.8</v>
      </c>
      <c r="L177" s="33">
        <f t="shared" si="25"/>
        <v>35.42</v>
      </c>
      <c r="M177" s="33">
        <f t="shared" si="26"/>
        <v>271</v>
      </c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1:23" ht="15.75" customHeight="1" x14ac:dyDescent="0.5">
      <c r="A178" s="31">
        <v>177</v>
      </c>
      <c r="B178" s="31">
        <f t="shared" si="27"/>
        <v>7</v>
      </c>
      <c r="C178" s="73">
        <f t="shared" si="28"/>
        <v>45172</v>
      </c>
      <c r="D178" s="33">
        <v>58.68</v>
      </c>
      <c r="E178" s="33">
        <v>30.2</v>
      </c>
      <c r="F178" s="33">
        <v>20.3</v>
      </c>
      <c r="G178" s="33">
        <v>31.819999999999997</v>
      </c>
      <c r="H178" s="33">
        <v>216</v>
      </c>
      <c r="I178" s="33">
        <f t="shared" si="22"/>
        <v>58.68</v>
      </c>
      <c r="J178" s="33">
        <f t="shared" si="23"/>
        <v>30.2</v>
      </c>
      <c r="K178" s="33">
        <f t="shared" si="24"/>
        <v>20.3</v>
      </c>
      <c r="L178" s="33">
        <f t="shared" si="25"/>
        <v>31.819999999999997</v>
      </c>
      <c r="M178" s="33">
        <f t="shared" si="26"/>
        <v>216</v>
      </c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1:23" ht="15.75" customHeight="1" x14ac:dyDescent="0.5">
      <c r="A179" s="31">
        <v>178</v>
      </c>
      <c r="B179" s="31">
        <f t="shared" si="27"/>
        <v>1</v>
      </c>
      <c r="C179" s="73">
        <f t="shared" si="28"/>
        <v>45173</v>
      </c>
      <c r="D179" s="33">
        <v>40.04</v>
      </c>
      <c r="E179" s="33">
        <v>7.8</v>
      </c>
      <c r="F179" s="33">
        <v>35.200000000000003</v>
      </c>
      <c r="G179" s="33">
        <v>95</v>
      </c>
      <c r="H179" s="33">
        <v>131</v>
      </c>
      <c r="I179" s="33">
        <f t="shared" si="22"/>
        <v>40.04</v>
      </c>
      <c r="J179" s="33">
        <f t="shared" si="23"/>
        <v>7.8</v>
      </c>
      <c r="K179" s="33">
        <f t="shared" si="24"/>
        <v>35.200000000000003</v>
      </c>
      <c r="L179" s="33">
        <f t="shared" si="25"/>
        <v>41.756249999999994</v>
      </c>
      <c r="M179" s="33">
        <f t="shared" si="26"/>
        <v>131</v>
      </c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1:23" ht="15.75" customHeight="1" x14ac:dyDescent="0.5">
      <c r="A180" s="31">
        <v>179</v>
      </c>
      <c r="B180" s="31">
        <f t="shared" si="27"/>
        <v>2</v>
      </c>
      <c r="C180" s="73">
        <f t="shared" si="28"/>
        <v>45174</v>
      </c>
      <c r="D180" s="33">
        <v>63.339999999999996</v>
      </c>
      <c r="E180" s="33">
        <v>2.2999999999999998</v>
      </c>
      <c r="F180" s="33">
        <v>23.7</v>
      </c>
      <c r="G180" s="33">
        <v>19.339999999999996</v>
      </c>
      <c r="H180" s="33">
        <v>131</v>
      </c>
      <c r="I180" s="33">
        <f t="shared" si="22"/>
        <v>63.339999999999996</v>
      </c>
      <c r="J180" s="33">
        <f t="shared" si="23"/>
        <v>2.2999999999999998</v>
      </c>
      <c r="K180" s="33">
        <f t="shared" si="24"/>
        <v>23.7</v>
      </c>
      <c r="L180" s="33">
        <f t="shared" si="25"/>
        <v>19.339999999999996</v>
      </c>
      <c r="M180" s="33">
        <f t="shared" si="26"/>
        <v>131</v>
      </c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1:23" ht="15.75" customHeight="1" x14ac:dyDescent="0.5">
      <c r="A181" s="31">
        <v>180</v>
      </c>
      <c r="B181" s="31">
        <f t="shared" si="27"/>
        <v>3</v>
      </c>
      <c r="C181" s="73">
        <f t="shared" si="28"/>
        <v>45175</v>
      </c>
      <c r="D181" s="33">
        <v>41.12</v>
      </c>
      <c r="E181" s="33">
        <v>10</v>
      </c>
      <c r="F181" s="33">
        <v>17.600000000000001</v>
      </c>
      <c r="G181" s="33">
        <v>14.519999999999998</v>
      </c>
      <c r="H181" s="33">
        <v>135</v>
      </c>
      <c r="I181" s="33">
        <f t="shared" si="22"/>
        <v>41.12</v>
      </c>
      <c r="J181" s="33">
        <f t="shared" si="23"/>
        <v>10</v>
      </c>
      <c r="K181" s="33">
        <f t="shared" si="24"/>
        <v>17.600000000000001</v>
      </c>
      <c r="L181" s="33">
        <f t="shared" si="25"/>
        <v>14.519999999999998</v>
      </c>
      <c r="M181" s="33">
        <f t="shared" si="26"/>
        <v>135</v>
      </c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1:23" ht="15.75" customHeight="1" x14ac:dyDescent="0.5">
      <c r="A182" s="31">
        <v>181</v>
      </c>
      <c r="B182" s="31">
        <f t="shared" si="27"/>
        <v>4</v>
      </c>
      <c r="C182" s="73">
        <f t="shared" si="28"/>
        <v>45176</v>
      </c>
      <c r="D182" s="33">
        <v>36.32</v>
      </c>
      <c r="E182" s="33">
        <v>2.6</v>
      </c>
      <c r="F182" s="33">
        <v>8.3000000000000007</v>
      </c>
      <c r="G182" s="33">
        <v>13.64</v>
      </c>
      <c r="H182" s="33">
        <v>108</v>
      </c>
      <c r="I182" s="33">
        <f t="shared" si="22"/>
        <v>36.32</v>
      </c>
      <c r="J182" s="33">
        <f t="shared" si="23"/>
        <v>2.6</v>
      </c>
      <c r="K182" s="33">
        <f t="shared" si="24"/>
        <v>8.3000000000000007</v>
      </c>
      <c r="L182" s="33">
        <f t="shared" si="25"/>
        <v>13.64</v>
      </c>
      <c r="M182" s="33">
        <f t="shared" si="26"/>
        <v>108</v>
      </c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1:23" ht="15.75" customHeight="1" x14ac:dyDescent="0.5">
      <c r="A183" s="31">
        <v>182</v>
      </c>
      <c r="B183" s="31">
        <f t="shared" si="27"/>
        <v>5</v>
      </c>
      <c r="C183" s="73">
        <f t="shared" si="28"/>
        <v>45177</v>
      </c>
      <c r="D183" s="33">
        <v>52.7</v>
      </c>
      <c r="E183" s="33">
        <v>5.4</v>
      </c>
      <c r="F183" s="33">
        <v>27.4</v>
      </c>
      <c r="G183" s="33">
        <v>13.59</v>
      </c>
      <c r="H183" s="33">
        <v>124</v>
      </c>
      <c r="I183" s="33">
        <f t="shared" si="22"/>
        <v>52.7</v>
      </c>
      <c r="J183" s="33">
        <f t="shared" si="23"/>
        <v>5.4</v>
      </c>
      <c r="K183" s="33">
        <f t="shared" si="24"/>
        <v>27.4</v>
      </c>
      <c r="L183" s="33">
        <f t="shared" si="25"/>
        <v>13.59</v>
      </c>
      <c r="M183" s="33">
        <f t="shared" si="26"/>
        <v>124</v>
      </c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1:23" ht="15.75" customHeight="1" x14ac:dyDescent="0.5">
      <c r="A184" s="31">
        <v>183</v>
      </c>
      <c r="B184" s="31">
        <f t="shared" si="27"/>
        <v>6</v>
      </c>
      <c r="C184" s="73">
        <f t="shared" si="28"/>
        <v>45178</v>
      </c>
      <c r="D184" s="33">
        <v>18.240000000000002</v>
      </c>
      <c r="E184" s="33">
        <v>5.7</v>
      </c>
      <c r="F184" s="33">
        <v>29.7</v>
      </c>
      <c r="G184" s="33">
        <v>16.59</v>
      </c>
      <c r="H184" s="33">
        <v>105</v>
      </c>
      <c r="I184" s="33">
        <f t="shared" si="22"/>
        <v>18.240000000000002</v>
      </c>
      <c r="J184" s="33">
        <f t="shared" si="23"/>
        <v>5.7</v>
      </c>
      <c r="K184" s="33">
        <f t="shared" si="24"/>
        <v>29.7</v>
      </c>
      <c r="L184" s="33">
        <f t="shared" si="25"/>
        <v>16.59</v>
      </c>
      <c r="M184" s="33">
        <f t="shared" si="26"/>
        <v>105</v>
      </c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1:23" ht="15.75" customHeight="1" x14ac:dyDescent="0.5">
      <c r="A185" s="31">
        <v>184</v>
      </c>
      <c r="B185" s="31">
        <f t="shared" si="27"/>
        <v>7</v>
      </c>
      <c r="C185" s="73">
        <f t="shared" si="28"/>
        <v>45179</v>
      </c>
      <c r="D185" s="33">
        <v>65.52000000000001</v>
      </c>
      <c r="E185" s="33">
        <v>43</v>
      </c>
      <c r="F185" s="33">
        <v>71.8</v>
      </c>
      <c r="G185" s="33">
        <v>21.540000000000006</v>
      </c>
      <c r="H185" s="33">
        <v>272</v>
      </c>
      <c r="I185" s="33">
        <f t="shared" si="22"/>
        <v>65.52000000000001</v>
      </c>
      <c r="J185" s="33">
        <f t="shared" si="23"/>
        <v>43</v>
      </c>
      <c r="K185" s="33">
        <f t="shared" si="24"/>
        <v>71.8</v>
      </c>
      <c r="L185" s="33">
        <f t="shared" si="25"/>
        <v>21.540000000000006</v>
      </c>
      <c r="M185" s="33">
        <f t="shared" si="26"/>
        <v>272</v>
      </c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1:23" ht="15.75" customHeight="1" x14ac:dyDescent="0.5">
      <c r="A186" s="31">
        <v>185</v>
      </c>
      <c r="B186" s="31">
        <f t="shared" si="27"/>
        <v>1</v>
      </c>
      <c r="C186" s="73">
        <f t="shared" si="28"/>
        <v>45180</v>
      </c>
      <c r="D186" s="33">
        <v>58.760000000000005</v>
      </c>
      <c r="E186" s="33">
        <v>21.3</v>
      </c>
      <c r="F186" s="33">
        <v>30</v>
      </c>
      <c r="G186" s="33">
        <v>24.03</v>
      </c>
      <c r="H186" s="33">
        <v>188</v>
      </c>
      <c r="I186" s="33">
        <f t="shared" si="22"/>
        <v>58.760000000000005</v>
      </c>
      <c r="J186" s="33">
        <f t="shared" si="23"/>
        <v>21.3</v>
      </c>
      <c r="K186" s="33">
        <f t="shared" si="24"/>
        <v>30</v>
      </c>
      <c r="L186" s="33">
        <f t="shared" si="25"/>
        <v>24.03</v>
      </c>
      <c r="M186" s="33">
        <f t="shared" si="26"/>
        <v>188</v>
      </c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1:23" ht="15.75" customHeight="1" x14ac:dyDescent="0.5">
      <c r="A187" s="31">
        <v>186</v>
      </c>
      <c r="B187" s="31">
        <f t="shared" si="27"/>
        <v>2</v>
      </c>
      <c r="C187" s="73">
        <f t="shared" si="28"/>
        <v>45181</v>
      </c>
      <c r="D187" s="33">
        <v>46</v>
      </c>
      <c r="E187" s="33">
        <v>45.1</v>
      </c>
      <c r="F187" s="33">
        <v>19.600000000000001</v>
      </c>
      <c r="G187" s="33">
        <v>35.209999999999994</v>
      </c>
      <c r="H187" s="33">
        <v>228</v>
      </c>
      <c r="I187" s="33">
        <f t="shared" si="22"/>
        <v>46</v>
      </c>
      <c r="J187" s="33">
        <f t="shared" si="23"/>
        <v>45.1</v>
      </c>
      <c r="K187" s="33">
        <f t="shared" si="24"/>
        <v>19.600000000000001</v>
      </c>
      <c r="L187" s="33">
        <f t="shared" si="25"/>
        <v>35.209999999999994</v>
      </c>
      <c r="M187" s="33">
        <f t="shared" si="26"/>
        <v>228</v>
      </c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1:23" ht="15.75" customHeight="1" x14ac:dyDescent="0.5">
      <c r="A188" s="31">
        <v>187</v>
      </c>
      <c r="B188" s="31">
        <f t="shared" si="27"/>
        <v>3</v>
      </c>
      <c r="C188" s="73">
        <f t="shared" si="28"/>
        <v>45182</v>
      </c>
      <c r="D188" s="33">
        <v>35.9</v>
      </c>
      <c r="E188" s="33">
        <v>2.1</v>
      </c>
      <c r="F188" s="33">
        <v>26.6</v>
      </c>
      <c r="G188" s="33">
        <v>4.3599999999999994</v>
      </c>
      <c r="H188" s="33">
        <v>108</v>
      </c>
      <c r="I188" s="33">
        <f t="shared" si="22"/>
        <v>35.9</v>
      </c>
      <c r="J188" s="33">
        <f t="shared" si="23"/>
        <v>2.1</v>
      </c>
      <c r="K188" s="33">
        <f t="shared" si="24"/>
        <v>26.6</v>
      </c>
      <c r="L188" s="33">
        <f t="shared" si="25"/>
        <v>4.3599999999999994</v>
      </c>
      <c r="M188" s="33">
        <f t="shared" si="26"/>
        <v>108</v>
      </c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1:23" ht="15.75" customHeight="1" x14ac:dyDescent="0.5">
      <c r="A189" s="31">
        <v>188</v>
      </c>
      <c r="B189" s="31">
        <f t="shared" si="27"/>
        <v>4</v>
      </c>
      <c r="C189" s="73">
        <f t="shared" si="28"/>
        <v>45183</v>
      </c>
      <c r="D189" s="33">
        <v>41.22</v>
      </c>
      <c r="E189" s="33">
        <v>28.7</v>
      </c>
      <c r="F189" s="33">
        <v>18.2</v>
      </c>
      <c r="G189" s="33">
        <v>26.18</v>
      </c>
      <c r="H189" s="33">
        <v>186</v>
      </c>
      <c r="I189" s="33">
        <f t="shared" si="22"/>
        <v>41.22</v>
      </c>
      <c r="J189" s="33">
        <f t="shared" si="23"/>
        <v>28.7</v>
      </c>
      <c r="K189" s="33">
        <f t="shared" si="24"/>
        <v>18.2</v>
      </c>
      <c r="L189" s="33">
        <f t="shared" si="25"/>
        <v>26.18</v>
      </c>
      <c r="M189" s="33">
        <f t="shared" si="26"/>
        <v>186</v>
      </c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1:23" ht="15.75" customHeight="1" x14ac:dyDescent="0.5">
      <c r="A190" s="31">
        <v>189</v>
      </c>
      <c r="B190" s="31">
        <f t="shared" si="27"/>
        <v>5</v>
      </c>
      <c r="C190" s="73">
        <f t="shared" si="28"/>
        <v>45184</v>
      </c>
      <c r="D190" s="33">
        <v>59.2</v>
      </c>
      <c r="E190" s="33">
        <v>13.9</v>
      </c>
      <c r="F190" s="33">
        <v>3.7</v>
      </c>
      <c r="G190" s="33">
        <v>34.070000000000007</v>
      </c>
      <c r="H190" s="33">
        <v>167</v>
      </c>
      <c r="I190" s="33">
        <f t="shared" si="22"/>
        <v>59.2</v>
      </c>
      <c r="J190" s="33">
        <f t="shared" si="23"/>
        <v>13.9</v>
      </c>
      <c r="K190" s="33">
        <f t="shared" si="24"/>
        <v>3.7</v>
      </c>
      <c r="L190" s="33">
        <f t="shared" si="25"/>
        <v>34.070000000000007</v>
      </c>
      <c r="M190" s="33">
        <f t="shared" si="26"/>
        <v>167</v>
      </c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1:23" ht="15.75" customHeight="1" x14ac:dyDescent="0.5">
      <c r="A191" s="31">
        <v>190</v>
      </c>
      <c r="B191" s="31">
        <f t="shared" si="27"/>
        <v>6</v>
      </c>
      <c r="C191" s="73">
        <f t="shared" si="28"/>
        <v>45185</v>
      </c>
      <c r="D191" s="33">
        <v>6.74</v>
      </c>
      <c r="E191" s="33">
        <v>12.1</v>
      </c>
      <c r="F191" s="33">
        <v>23.4</v>
      </c>
      <c r="G191" s="33">
        <v>18.560000000000002</v>
      </c>
      <c r="H191" s="33">
        <v>83</v>
      </c>
      <c r="I191" s="33">
        <f t="shared" si="22"/>
        <v>6.74</v>
      </c>
      <c r="J191" s="33">
        <f t="shared" si="23"/>
        <v>12.1</v>
      </c>
      <c r="K191" s="33">
        <f t="shared" si="24"/>
        <v>23.4</v>
      </c>
      <c r="L191" s="33">
        <f t="shared" si="25"/>
        <v>18.560000000000002</v>
      </c>
      <c r="M191" s="33">
        <f t="shared" si="26"/>
        <v>83</v>
      </c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1:23" ht="15.75" customHeight="1" x14ac:dyDescent="0.5">
      <c r="A192" s="31">
        <v>191</v>
      </c>
      <c r="B192" s="31">
        <f t="shared" si="27"/>
        <v>7</v>
      </c>
      <c r="C192" s="73">
        <f t="shared" si="28"/>
        <v>45186</v>
      </c>
      <c r="D192" s="33">
        <v>15.9</v>
      </c>
      <c r="E192" s="33">
        <v>41.1</v>
      </c>
      <c r="F192" s="33">
        <v>5.8</v>
      </c>
      <c r="G192" s="33">
        <v>22.18</v>
      </c>
      <c r="H192" s="33">
        <v>114</v>
      </c>
      <c r="I192" s="33">
        <f t="shared" si="22"/>
        <v>15.9</v>
      </c>
      <c r="J192" s="33">
        <f t="shared" si="23"/>
        <v>41.1</v>
      </c>
      <c r="K192" s="33">
        <f t="shared" si="24"/>
        <v>5.8</v>
      </c>
      <c r="L192" s="33">
        <f t="shared" si="25"/>
        <v>22.18</v>
      </c>
      <c r="M192" s="33">
        <f t="shared" si="26"/>
        <v>114</v>
      </c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1:23" ht="15.75" customHeight="1" x14ac:dyDescent="0.5">
      <c r="A193" s="31">
        <v>192</v>
      </c>
      <c r="B193" s="31">
        <f t="shared" si="27"/>
        <v>1</v>
      </c>
      <c r="C193" s="73">
        <f t="shared" si="28"/>
        <v>45187</v>
      </c>
      <c r="D193" s="33">
        <v>21.1</v>
      </c>
      <c r="E193" s="33">
        <v>10.8</v>
      </c>
      <c r="F193" s="33">
        <v>6</v>
      </c>
      <c r="G193" s="33">
        <v>10.549999999999999</v>
      </c>
      <c r="H193" s="33">
        <v>116</v>
      </c>
      <c r="I193" s="33">
        <f t="shared" si="22"/>
        <v>21.1</v>
      </c>
      <c r="J193" s="33">
        <f t="shared" si="23"/>
        <v>10.8</v>
      </c>
      <c r="K193" s="33">
        <f t="shared" si="24"/>
        <v>6</v>
      </c>
      <c r="L193" s="33">
        <f t="shared" si="25"/>
        <v>10.549999999999999</v>
      </c>
      <c r="M193" s="33">
        <f t="shared" si="26"/>
        <v>116</v>
      </c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1:23" ht="15.75" customHeight="1" x14ac:dyDescent="0.5">
      <c r="A194" s="31">
        <v>193</v>
      </c>
      <c r="B194" s="31">
        <f t="shared" ref="B194:B225" si="29">WEEKDAY(C194,2)</f>
        <v>2</v>
      </c>
      <c r="C194" s="73">
        <f t="shared" ref="C194:C200" si="30">+C195-1</f>
        <v>45188</v>
      </c>
      <c r="D194" s="33">
        <v>12.44</v>
      </c>
      <c r="E194" s="33">
        <v>4.0999999999999996</v>
      </c>
      <c r="F194" s="33">
        <v>31.6</v>
      </c>
      <c r="G194" s="33">
        <v>11.129999999999999</v>
      </c>
      <c r="H194" s="33">
        <v>62</v>
      </c>
      <c r="I194" s="33">
        <f t="shared" si="22"/>
        <v>12.44</v>
      </c>
      <c r="J194" s="33">
        <f t="shared" si="23"/>
        <v>4.0999999999999996</v>
      </c>
      <c r="K194" s="33">
        <f t="shared" si="24"/>
        <v>31.6</v>
      </c>
      <c r="L194" s="33">
        <f t="shared" si="25"/>
        <v>11.129999999999999</v>
      </c>
      <c r="M194" s="33">
        <f t="shared" si="26"/>
        <v>62</v>
      </c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1:23" ht="15.75" customHeight="1" x14ac:dyDescent="0.5">
      <c r="A195" s="31">
        <v>194</v>
      </c>
      <c r="B195" s="31">
        <f t="shared" si="29"/>
        <v>3</v>
      </c>
      <c r="C195" s="73">
        <f t="shared" si="30"/>
        <v>45189</v>
      </c>
      <c r="D195" s="33">
        <v>41.36</v>
      </c>
      <c r="E195" s="33">
        <v>42</v>
      </c>
      <c r="F195" s="33">
        <v>3.6</v>
      </c>
      <c r="G195" s="33">
        <v>36.24</v>
      </c>
      <c r="H195" s="33">
        <v>204</v>
      </c>
      <c r="I195" s="33">
        <f t="shared" ref="I195:I201" si="31">IF(D195&gt;T$4,T$4,D195)</f>
        <v>41.36</v>
      </c>
      <c r="J195" s="33">
        <f t="shared" ref="J195:J201" si="32">IF(E195&gt;T$5,T$5,E195)</f>
        <v>42</v>
      </c>
      <c r="K195" s="33">
        <f t="shared" ref="K195:K201" si="33">IF(F195&gt;T$6,T$6,F195)</f>
        <v>3.6</v>
      </c>
      <c r="L195" s="33">
        <f t="shared" ref="L195:L201" si="34">IF(G195&gt;T$7,T$7,G195)</f>
        <v>36.24</v>
      </c>
      <c r="M195" s="33">
        <f t="shared" ref="M195:M201" si="35">IF(H195&gt;T$8,T$8,H195)</f>
        <v>204</v>
      </c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1:23" ht="15.75" customHeight="1" x14ac:dyDescent="0.5">
      <c r="A196" s="31">
        <v>195</v>
      </c>
      <c r="B196" s="31">
        <f t="shared" si="29"/>
        <v>4</v>
      </c>
      <c r="C196" s="73">
        <f t="shared" si="30"/>
        <v>45190</v>
      </c>
      <c r="D196" s="33">
        <v>32.94</v>
      </c>
      <c r="E196" s="33">
        <v>35.6</v>
      </c>
      <c r="F196" s="33">
        <v>6</v>
      </c>
      <c r="G196" s="33">
        <v>17.100000000000001</v>
      </c>
      <c r="H196" s="33">
        <v>184</v>
      </c>
      <c r="I196" s="33">
        <f t="shared" si="31"/>
        <v>32.94</v>
      </c>
      <c r="J196" s="33">
        <f t="shared" si="32"/>
        <v>35.6</v>
      </c>
      <c r="K196" s="33">
        <f t="shared" si="33"/>
        <v>6</v>
      </c>
      <c r="L196" s="33">
        <f t="shared" si="34"/>
        <v>17.100000000000001</v>
      </c>
      <c r="M196" s="33">
        <f t="shared" si="35"/>
        <v>184</v>
      </c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1:23" ht="15.75" customHeight="1" x14ac:dyDescent="0.5">
      <c r="A197" s="31">
        <v>196</v>
      </c>
      <c r="B197" s="31">
        <f t="shared" si="29"/>
        <v>5</v>
      </c>
      <c r="C197" s="73">
        <f t="shared" si="30"/>
        <v>45191</v>
      </c>
      <c r="D197" s="33">
        <v>14.64</v>
      </c>
      <c r="E197" s="33">
        <v>3.7</v>
      </c>
      <c r="F197" s="33">
        <v>13.8</v>
      </c>
      <c r="G197" s="33">
        <v>0.14999999999999947</v>
      </c>
      <c r="H197" s="33">
        <v>91</v>
      </c>
      <c r="I197" s="33">
        <f t="shared" si="31"/>
        <v>14.64</v>
      </c>
      <c r="J197" s="33">
        <f t="shared" si="32"/>
        <v>3.7</v>
      </c>
      <c r="K197" s="33">
        <f t="shared" si="33"/>
        <v>13.8</v>
      </c>
      <c r="L197" s="33">
        <f t="shared" si="34"/>
        <v>0.14999999999999947</v>
      </c>
      <c r="M197" s="33">
        <f t="shared" si="35"/>
        <v>91</v>
      </c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1:23" ht="15.75" customHeight="1" x14ac:dyDescent="0.5">
      <c r="A198" s="31">
        <v>197</v>
      </c>
      <c r="B198" s="31">
        <f t="shared" si="29"/>
        <v>6</v>
      </c>
      <c r="C198" s="73">
        <f t="shared" si="30"/>
        <v>45192</v>
      </c>
      <c r="D198" s="33">
        <v>27.84</v>
      </c>
      <c r="E198" s="33">
        <v>4.9000000000000004</v>
      </c>
      <c r="F198" s="33">
        <v>8.1</v>
      </c>
      <c r="G198" s="33">
        <v>8.6300000000000008</v>
      </c>
      <c r="H198" s="33">
        <v>116</v>
      </c>
      <c r="I198" s="33">
        <f t="shared" si="31"/>
        <v>27.84</v>
      </c>
      <c r="J198" s="33">
        <f t="shared" si="32"/>
        <v>4.9000000000000004</v>
      </c>
      <c r="K198" s="33">
        <f t="shared" si="33"/>
        <v>8.1</v>
      </c>
      <c r="L198" s="33">
        <f t="shared" si="34"/>
        <v>8.6300000000000008</v>
      </c>
      <c r="M198" s="33">
        <f t="shared" si="35"/>
        <v>116</v>
      </c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1:23" ht="15.75" customHeight="1" x14ac:dyDescent="0.5">
      <c r="A199" s="31">
        <v>198</v>
      </c>
      <c r="B199" s="31">
        <f t="shared" si="29"/>
        <v>7</v>
      </c>
      <c r="C199" s="73">
        <f t="shared" si="30"/>
        <v>45193</v>
      </c>
      <c r="D199" s="33">
        <v>44.4</v>
      </c>
      <c r="E199" s="33">
        <v>9.3000000000000007</v>
      </c>
      <c r="F199" s="33">
        <v>6.4</v>
      </c>
      <c r="G199" s="33">
        <v>19.79</v>
      </c>
      <c r="H199" s="33">
        <v>139</v>
      </c>
      <c r="I199" s="33">
        <f t="shared" si="31"/>
        <v>44.4</v>
      </c>
      <c r="J199" s="33">
        <f t="shared" si="32"/>
        <v>9.3000000000000007</v>
      </c>
      <c r="K199" s="33">
        <f t="shared" si="33"/>
        <v>6.4</v>
      </c>
      <c r="L199" s="33">
        <f t="shared" si="34"/>
        <v>19.79</v>
      </c>
      <c r="M199" s="33">
        <f t="shared" si="35"/>
        <v>139</v>
      </c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1:23" ht="15.75" customHeight="1" x14ac:dyDescent="0.5">
      <c r="A200" s="31">
        <v>199</v>
      </c>
      <c r="B200" s="31">
        <f t="shared" si="29"/>
        <v>1</v>
      </c>
      <c r="C200" s="73">
        <f t="shared" si="30"/>
        <v>45194</v>
      </c>
      <c r="D200" s="33">
        <v>57.720000000000006</v>
      </c>
      <c r="E200" s="33">
        <v>42</v>
      </c>
      <c r="F200" s="33">
        <v>66.2</v>
      </c>
      <c r="G200" s="33">
        <v>22.879999999999995</v>
      </c>
      <c r="H200" s="33">
        <v>235.5</v>
      </c>
      <c r="I200" s="33">
        <f t="shared" si="31"/>
        <v>57.720000000000006</v>
      </c>
      <c r="J200" s="33">
        <f t="shared" si="32"/>
        <v>42</v>
      </c>
      <c r="K200" s="33">
        <f t="shared" si="33"/>
        <v>66.2</v>
      </c>
      <c r="L200" s="33">
        <f t="shared" si="34"/>
        <v>22.879999999999995</v>
      </c>
      <c r="M200" s="33">
        <f t="shared" si="35"/>
        <v>235.5</v>
      </c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1:23" ht="15.75" customHeight="1" x14ac:dyDescent="0.5">
      <c r="A201" s="31">
        <v>200</v>
      </c>
      <c r="B201" s="31">
        <f t="shared" si="29"/>
        <v>2</v>
      </c>
      <c r="C201" s="73">
        <v>45195</v>
      </c>
      <c r="D201" s="33">
        <v>52.42</v>
      </c>
      <c r="E201" s="33">
        <v>8.6</v>
      </c>
      <c r="F201" s="33">
        <v>8.6999999999999993</v>
      </c>
      <c r="G201" s="33">
        <v>1</v>
      </c>
      <c r="H201" s="33">
        <v>139</v>
      </c>
      <c r="I201" s="33">
        <f t="shared" si="31"/>
        <v>52.42</v>
      </c>
      <c r="J201" s="33">
        <f t="shared" si="32"/>
        <v>8.6</v>
      </c>
      <c r="K201" s="33">
        <f t="shared" si="33"/>
        <v>8.6999999999999993</v>
      </c>
      <c r="L201" s="33">
        <f t="shared" si="34"/>
        <v>1</v>
      </c>
      <c r="M201" s="33">
        <f t="shared" si="35"/>
        <v>139</v>
      </c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1:23" ht="15.75" customHeight="1" x14ac:dyDescent="0.5"/>
    <row r="203" spans="1:23" ht="15.75" customHeight="1" x14ac:dyDescent="0.5"/>
    <row r="204" spans="1:23" ht="15.75" customHeight="1" x14ac:dyDescent="0.5"/>
    <row r="205" spans="1:23" ht="15.75" customHeight="1" x14ac:dyDescent="0.5"/>
    <row r="206" spans="1:23" ht="15.75" customHeight="1" x14ac:dyDescent="0.5"/>
    <row r="207" spans="1:23" ht="15.75" customHeight="1" x14ac:dyDescent="0.5"/>
    <row r="208" spans="1:23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autoFilter ref="A1:M1" xr:uid="{DC51644F-52B2-E24D-85DA-AFB8901C6F30}">
    <sortState xmlns:xlrd2="http://schemas.microsoft.com/office/spreadsheetml/2017/richdata2" ref="A2:M201">
      <sortCondition ref="A1:A201"/>
    </sortState>
  </autoFilter>
  <mergeCells count="2">
    <mergeCell ref="O2:U2"/>
    <mergeCell ref="O12:R12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33BE7-EB6F-574A-8DBE-A4FBE54380C1}">
  <dimension ref="A1:U1000"/>
  <sheetViews>
    <sheetView showGridLines="0" zoomScale="70" zoomScaleNormal="200" workbookViewId="0">
      <selection activeCell="J4" sqref="J4"/>
    </sheetView>
  </sheetViews>
  <sheetFormatPr defaultColWidth="11.1875" defaultRowHeight="15" customHeight="1" x14ac:dyDescent="0.5"/>
  <cols>
    <col min="1" max="2" width="10.5" customWidth="1"/>
    <col min="3" max="3" width="14.5" bestFit="1" customWidth="1"/>
    <col min="4" max="4" width="10.5" style="4" customWidth="1"/>
    <col min="5" max="9" width="10.5" customWidth="1"/>
    <col min="10" max="10" width="13.0625" bestFit="1" customWidth="1"/>
    <col min="11" max="12" width="10.5" customWidth="1"/>
    <col min="21" max="21" width="11.9375" bestFit="1" customWidth="1"/>
  </cols>
  <sheetData>
    <row r="1" spans="1:21" ht="26.25" customHeight="1" x14ac:dyDescent="0.5">
      <c r="A1" s="87" t="s">
        <v>0</v>
      </c>
      <c r="B1" s="87" t="s">
        <v>17</v>
      </c>
      <c r="C1" s="87" t="s">
        <v>1</v>
      </c>
      <c r="D1" s="78" t="s">
        <v>12</v>
      </c>
      <c r="E1" s="78" t="s">
        <v>13</v>
      </c>
      <c r="F1" s="78" t="s">
        <v>14</v>
      </c>
      <c r="G1" s="78" t="s">
        <v>15</v>
      </c>
      <c r="H1" s="78" t="s">
        <v>16</v>
      </c>
    </row>
    <row r="2" spans="1:21" ht="15.75" customHeight="1" thickBot="1" x14ac:dyDescent="0.55000000000000004">
      <c r="A2" s="31">
        <v>1</v>
      </c>
      <c r="B2" s="31">
        <f t="shared" ref="B2:B33" si="0">WEEKDAY(C2,2)</f>
        <v>6</v>
      </c>
      <c r="C2" s="73">
        <f t="shared" ref="C2:C33" si="1">+C3-1</f>
        <v>44996</v>
      </c>
      <c r="D2" s="33">
        <v>56.02</v>
      </c>
      <c r="E2" s="33">
        <v>37.799999999999997</v>
      </c>
      <c r="F2" s="33">
        <v>69.2</v>
      </c>
      <c r="G2" s="33">
        <v>14.229999999999993</v>
      </c>
      <c r="H2" s="33">
        <v>236</v>
      </c>
    </row>
    <row r="3" spans="1:21" ht="26.25" customHeight="1" x14ac:dyDescent="0.65">
      <c r="A3" s="31">
        <v>2</v>
      </c>
      <c r="B3" s="31">
        <f t="shared" si="0"/>
        <v>7</v>
      </c>
      <c r="C3" s="73">
        <f t="shared" si="1"/>
        <v>44997</v>
      </c>
      <c r="D3" s="33">
        <v>10.9</v>
      </c>
      <c r="E3" s="33">
        <v>39.299999999999997</v>
      </c>
      <c r="F3" s="33">
        <v>45.1</v>
      </c>
      <c r="G3" s="33">
        <v>6.0599999999999952</v>
      </c>
      <c r="H3" s="33">
        <v>122</v>
      </c>
      <c r="J3" s="88" t="s">
        <v>74</v>
      </c>
      <c r="K3" s="89"/>
      <c r="L3" s="89"/>
      <c r="M3" s="89"/>
      <c r="N3" s="89"/>
      <c r="O3" s="89"/>
      <c r="P3" s="89"/>
      <c r="Q3" s="89"/>
      <c r="R3" s="89"/>
      <c r="S3" s="89"/>
      <c r="T3" s="89"/>
      <c r="U3" s="90"/>
    </row>
    <row r="4" spans="1:21" ht="15.75" customHeight="1" x14ac:dyDescent="0.5">
      <c r="A4" s="31">
        <v>3</v>
      </c>
      <c r="B4" s="31">
        <f t="shared" si="0"/>
        <v>1</v>
      </c>
      <c r="C4" s="73">
        <f t="shared" si="1"/>
        <v>44998</v>
      </c>
      <c r="D4" s="33">
        <v>12.44</v>
      </c>
      <c r="E4" s="33">
        <v>45.9</v>
      </c>
      <c r="F4" s="33">
        <v>69.3</v>
      </c>
      <c r="G4" s="33">
        <v>16.95</v>
      </c>
      <c r="H4" s="33">
        <v>96</v>
      </c>
      <c r="J4" s="107" t="s">
        <v>50</v>
      </c>
      <c r="K4" s="81" t="s">
        <v>48</v>
      </c>
      <c r="L4" s="81" t="s">
        <v>9</v>
      </c>
      <c r="M4" s="81" t="s">
        <v>10</v>
      </c>
      <c r="N4" s="81" t="s">
        <v>11</v>
      </c>
      <c r="O4" s="81" t="s">
        <v>58</v>
      </c>
      <c r="P4" s="80" t="s">
        <v>20</v>
      </c>
      <c r="Q4" s="80" t="s">
        <v>21</v>
      </c>
      <c r="R4" s="80" t="s">
        <v>22</v>
      </c>
      <c r="S4" s="80" t="s">
        <v>66</v>
      </c>
      <c r="T4" s="80" t="s">
        <v>67</v>
      </c>
      <c r="U4" s="91" t="s">
        <v>68</v>
      </c>
    </row>
    <row r="5" spans="1:21" ht="15.75" customHeight="1" x14ac:dyDescent="0.5">
      <c r="A5" s="31">
        <v>4</v>
      </c>
      <c r="B5" s="31">
        <f t="shared" si="0"/>
        <v>2</v>
      </c>
      <c r="C5" s="73">
        <f t="shared" si="1"/>
        <v>44999</v>
      </c>
      <c r="D5" s="33">
        <v>31.3</v>
      </c>
      <c r="E5" s="33">
        <v>41.3</v>
      </c>
      <c r="F5" s="33">
        <v>58.5</v>
      </c>
      <c r="G5" s="33">
        <v>12.399999999999995</v>
      </c>
      <c r="H5" s="33">
        <v>197</v>
      </c>
      <c r="J5" s="92" t="s">
        <v>59</v>
      </c>
      <c r="K5" s="82">
        <f>COUNTBLANK(D2:D201)</f>
        <v>0</v>
      </c>
      <c r="L5" s="83">
        <f>AVERAGE(D2:D201)</f>
        <v>37.000404166666684</v>
      </c>
      <c r="M5" s="84">
        <f>MEDIAN(D2:D201)</f>
        <v>38.209999999999994</v>
      </c>
      <c r="N5" s="84">
        <f>_xlfn.STDEV.P(D2:D201)</f>
        <v>19.365510317059048</v>
      </c>
      <c r="O5" s="85">
        <f>N5/L5</f>
        <v>0.5233864535594791</v>
      </c>
      <c r="P5" s="79">
        <f>QUARTILE($D$2:$D$201,1)</f>
        <v>20.455000000000002</v>
      </c>
      <c r="Q5" s="79">
        <f>QUARTILE($D$2:$D$201,3)</f>
        <v>50.744999999999997</v>
      </c>
      <c r="R5" s="79">
        <f>Q5-P5</f>
        <v>30.289999999999996</v>
      </c>
      <c r="S5" s="79">
        <f>P5-1.5*R5</f>
        <v>-24.979999999999993</v>
      </c>
      <c r="T5" s="79">
        <f>Q5+1.5*R5</f>
        <v>96.179999999999993</v>
      </c>
      <c r="U5" s="93">
        <v>0</v>
      </c>
    </row>
    <row r="6" spans="1:21" ht="15.75" customHeight="1" x14ac:dyDescent="0.5">
      <c r="A6" s="31">
        <v>5</v>
      </c>
      <c r="B6" s="31">
        <f t="shared" si="0"/>
        <v>3</v>
      </c>
      <c r="C6" s="73">
        <f t="shared" si="1"/>
        <v>45000</v>
      </c>
      <c r="D6" s="33">
        <v>46.160000000000004</v>
      </c>
      <c r="E6" s="33">
        <v>10.8</v>
      </c>
      <c r="F6" s="33">
        <v>58.4</v>
      </c>
      <c r="G6" s="33">
        <v>0.12000000000000455</v>
      </c>
      <c r="H6" s="33">
        <v>137</v>
      </c>
      <c r="J6" s="92" t="s">
        <v>60</v>
      </c>
      <c r="K6" s="82">
        <f>COUNTBLANK(E2:E201)</f>
        <v>0</v>
      </c>
      <c r="L6" s="83">
        <f>AVERAGE(E2:E201)</f>
        <v>23.901500000000024</v>
      </c>
      <c r="M6" s="84">
        <f>MEDIAN(E1:E201)</f>
        <v>23.450000000000003</v>
      </c>
      <c r="N6" s="84">
        <f>_xlfn.STDEV.P(E2:E201)</f>
        <v>15.681980032827454</v>
      </c>
      <c r="O6" s="85">
        <f>N6/L6</f>
        <v>0.65610861380362895</v>
      </c>
      <c r="P6" s="79">
        <f>QUARTILE($E$2:$E$201,1)</f>
        <v>10.074999999999999</v>
      </c>
      <c r="Q6" s="79">
        <f>QUARTILE($E$2:$E$201,3)</f>
        <v>36.824999999999996</v>
      </c>
      <c r="R6" s="79">
        <f t="shared" ref="R6:R9" si="2">Q6-P6</f>
        <v>26.749999999999996</v>
      </c>
      <c r="S6" s="79">
        <f t="shared" ref="S6:S9" si="3">P6-1.5*R6</f>
        <v>-30.049999999999994</v>
      </c>
      <c r="T6" s="79">
        <f t="shared" ref="T6:T9" si="4">Q6+1.5*R6</f>
        <v>76.949999999999989</v>
      </c>
      <c r="U6" s="93">
        <v>0</v>
      </c>
    </row>
    <row r="7" spans="1:21" ht="15.75" customHeight="1" x14ac:dyDescent="0.5">
      <c r="A7" s="31">
        <v>6</v>
      </c>
      <c r="B7" s="31">
        <f t="shared" si="0"/>
        <v>4</v>
      </c>
      <c r="C7" s="73">
        <f t="shared" si="1"/>
        <v>45001</v>
      </c>
      <c r="D7" s="33">
        <v>6.74</v>
      </c>
      <c r="E7" s="33">
        <v>48.9</v>
      </c>
      <c r="F7" s="33">
        <v>75</v>
      </c>
      <c r="G7" s="33">
        <v>15.32</v>
      </c>
      <c r="H7" s="33">
        <v>86</v>
      </c>
      <c r="J7" s="92" t="s">
        <v>61</v>
      </c>
      <c r="K7" s="82">
        <f>COUNTBLANK(F2:F201)</f>
        <v>0</v>
      </c>
      <c r="L7" s="83">
        <f>AVERAGE(F2:F201)</f>
        <v>30.417249999999996</v>
      </c>
      <c r="M7" s="84">
        <f>MEDIAN(F2:F201)</f>
        <v>25.9</v>
      </c>
      <c r="N7" s="86">
        <f>_xlfn.STDEV.P(F2:F201)</f>
        <v>21.263212567424997</v>
      </c>
      <c r="O7" s="85">
        <f t="shared" ref="O7:O9" si="5">N7/L7</f>
        <v>0.69905111630489281</v>
      </c>
      <c r="P7" s="79">
        <f>QUARTILE($F$2:$F$201,1)</f>
        <v>12.75</v>
      </c>
      <c r="Q7" s="79">
        <f>QUARTILE($F$2:$F$201,3)</f>
        <v>45.1</v>
      </c>
      <c r="R7" s="79">
        <f t="shared" si="2"/>
        <v>32.35</v>
      </c>
      <c r="S7" s="79">
        <f t="shared" si="3"/>
        <v>-35.775000000000006</v>
      </c>
      <c r="T7" s="79">
        <f t="shared" si="4"/>
        <v>93.625</v>
      </c>
      <c r="U7" s="93">
        <v>0</v>
      </c>
    </row>
    <row r="8" spans="1:21" ht="15.75" customHeight="1" x14ac:dyDescent="0.5">
      <c r="A8" s="31">
        <v>7</v>
      </c>
      <c r="B8" s="31">
        <f t="shared" si="0"/>
        <v>5</v>
      </c>
      <c r="C8" s="73">
        <f t="shared" si="1"/>
        <v>45002</v>
      </c>
      <c r="D8" s="33">
        <v>13.5</v>
      </c>
      <c r="E8" s="33">
        <v>32.799999999999997</v>
      </c>
      <c r="F8" s="33">
        <v>23.5</v>
      </c>
      <c r="G8" s="33">
        <v>12.749999999999998</v>
      </c>
      <c r="H8" s="33">
        <v>123</v>
      </c>
      <c r="J8" s="92" t="s">
        <v>8</v>
      </c>
      <c r="K8" s="82">
        <f>COUNTBLANK(G2:G201)</f>
        <v>0</v>
      </c>
      <c r="L8" s="83">
        <f>AVERAGE(G2:G201)</f>
        <v>17.960806250000005</v>
      </c>
      <c r="M8" s="84">
        <f>MEDIAN(G2:G201)</f>
        <v>17.100000000000001</v>
      </c>
      <c r="N8" s="86">
        <f>_xlfn.STDEV.P(G2:G201)</f>
        <v>9.8262335722874212</v>
      </c>
      <c r="O8" s="85">
        <f>N8/L8</f>
        <v>0.54709312240854546</v>
      </c>
      <c r="P8" s="79">
        <f>QUARTILE($G$2:$G$201,1)</f>
        <v>11.175000000000001</v>
      </c>
      <c r="Q8" s="79">
        <f>QUARTILE($G$2:$G$201,3)</f>
        <v>23.407499999999999</v>
      </c>
      <c r="R8" s="79">
        <f t="shared" si="2"/>
        <v>12.232499999999998</v>
      </c>
      <c r="S8" s="79">
        <f t="shared" si="3"/>
        <v>-7.1737499999999947</v>
      </c>
      <c r="T8" s="79">
        <f t="shared" si="4"/>
        <v>41.756249999999994</v>
      </c>
      <c r="U8" s="93">
        <v>0</v>
      </c>
    </row>
    <row r="9" spans="1:21" ht="15.75" customHeight="1" thickBot="1" x14ac:dyDescent="0.55000000000000004">
      <c r="A9" s="31">
        <v>8</v>
      </c>
      <c r="B9" s="31">
        <f t="shared" si="0"/>
        <v>6</v>
      </c>
      <c r="C9" s="73">
        <f t="shared" si="1"/>
        <v>45003</v>
      </c>
      <c r="D9" s="33">
        <v>31.04</v>
      </c>
      <c r="E9" s="33">
        <v>19.600000000000001</v>
      </c>
      <c r="F9" s="33">
        <v>11.6</v>
      </c>
      <c r="G9" s="33">
        <v>17.18</v>
      </c>
      <c r="H9" s="33">
        <v>152</v>
      </c>
      <c r="J9" s="94" t="s">
        <v>5</v>
      </c>
      <c r="K9" s="95">
        <f>COUNTBLANK(H2:H201)</f>
        <v>0</v>
      </c>
      <c r="L9" s="96">
        <f>AVERAGE(H2:H201)</f>
        <v>151.51606646825397</v>
      </c>
      <c r="M9" s="97">
        <f>MEDIAN(H2:H201)</f>
        <v>139.86111111111111</v>
      </c>
      <c r="N9" s="98">
        <f>_xlfn.STDEV.P(H2:H201)</f>
        <v>52.772153433673211</v>
      </c>
      <c r="O9" s="99">
        <f t="shared" si="5"/>
        <v>0.34829410942192174</v>
      </c>
      <c r="P9" s="100">
        <f>QUARTILE($H$2:$H$201,1)</f>
        <v>115.5</v>
      </c>
      <c r="Q9" s="100">
        <f>QUARTILE($H$2:$H$201,3)</f>
        <v>186</v>
      </c>
      <c r="R9" s="100">
        <f t="shared" si="2"/>
        <v>70.5</v>
      </c>
      <c r="S9" s="100">
        <f t="shared" si="3"/>
        <v>9.75</v>
      </c>
      <c r="T9" s="100">
        <f t="shared" si="4"/>
        <v>291.75</v>
      </c>
      <c r="U9" s="101">
        <v>0</v>
      </c>
    </row>
    <row r="10" spans="1:21" ht="15.75" customHeight="1" x14ac:dyDescent="0.5">
      <c r="A10" s="31">
        <v>9</v>
      </c>
      <c r="B10" s="31">
        <f t="shared" si="0"/>
        <v>7</v>
      </c>
      <c r="C10" s="73">
        <f t="shared" si="1"/>
        <v>45004</v>
      </c>
      <c r="D10" s="33">
        <v>9.7200000000000006</v>
      </c>
      <c r="E10" s="33">
        <v>2.1</v>
      </c>
      <c r="F10" s="33">
        <v>1</v>
      </c>
      <c r="G10" s="33">
        <v>1.5100000000000002</v>
      </c>
      <c r="H10" s="33">
        <v>54</v>
      </c>
    </row>
    <row r="11" spans="1:21" ht="15.75" customHeight="1" x14ac:dyDescent="0.5">
      <c r="A11" s="31">
        <v>10</v>
      </c>
      <c r="B11" s="31">
        <f t="shared" si="0"/>
        <v>1</v>
      </c>
      <c r="C11" s="73">
        <f t="shared" si="1"/>
        <v>45005</v>
      </c>
      <c r="D11" s="33">
        <v>40.96</v>
      </c>
      <c r="E11" s="33">
        <v>2.6</v>
      </c>
      <c r="F11" s="33">
        <v>21.2</v>
      </c>
      <c r="G11" s="33">
        <v>12.8</v>
      </c>
      <c r="H11" s="33">
        <v>119</v>
      </c>
    </row>
    <row r="12" spans="1:21" ht="15.75" customHeight="1" x14ac:dyDescent="0.5">
      <c r="A12" s="31">
        <v>11</v>
      </c>
      <c r="B12" s="31">
        <f t="shared" si="0"/>
        <v>2</v>
      </c>
      <c r="C12" s="73">
        <f t="shared" si="1"/>
        <v>45006</v>
      </c>
      <c r="D12" s="33">
        <v>23.22</v>
      </c>
      <c r="E12" s="33">
        <v>5.8</v>
      </c>
      <c r="F12" s="33">
        <v>24.2</v>
      </c>
      <c r="G12" s="33">
        <v>19.829999999999998</v>
      </c>
      <c r="H12" s="33">
        <v>95</v>
      </c>
    </row>
    <row r="13" spans="1:21" ht="15.75" customHeight="1" x14ac:dyDescent="0.5">
      <c r="A13" s="31">
        <v>12</v>
      </c>
      <c r="B13" s="31">
        <f t="shared" si="0"/>
        <v>3</v>
      </c>
      <c r="C13" s="73">
        <f t="shared" si="1"/>
        <v>45007</v>
      </c>
      <c r="D13" s="33">
        <v>50.94</v>
      </c>
      <c r="E13" s="33">
        <v>24</v>
      </c>
      <c r="F13" s="33">
        <v>4</v>
      </c>
      <c r="G13" s="33">
        <v>31.869999999999997</v>
      </c>
      <c r="H13" s="33">
        <v>151.5</v>
      </c>
    </row>
    <row r="14" spans="1:21" ht="15.75" customHeight="1" x14ac:dyDescent="0.5">
      <c r="A14" s="31">
        <v>13</v>
      </c>
      <c r="B14" s="31">
        <f t="shared" si="0"/>
        <v>4</v>
      </c>
      <c r="C14" s="73">
        <f t="shared" si="1"/>
        <v>45008</v>
      </c>
      <c r="D14" s="33">
        <v>10.76</v>
      </c>
      <c r="E14" s="33">
        <v>35.1</v>
      </c>
      <c r="F14" s="33">
        <v>65.900000000000006</v>
      </c>
      <c r="G14" s="33">
        <v>17.100000000000001</v>
      </c>
      <c r="H14" s="33">
        <v>95</v>
      </c>
    </row>
    <row r="15" spans="1:21" ht="15.75" customHeight="1" x14ac:dyDescent="0.5">
      <c r="A15" s="31">
        <v>14</v>
      </c>
      <c r="B15" s="31">
        <f t="shared" si="0"/>
        <v>5</v>
      </c>
      <c r="C15" s="73">
        <f t="shared" si="1"/>
        <v>45009</v>
      </c>
      <c r="D15" s="33">
        <v>26.5</v>
      </c>
      <c r="E15" s="33">
        <v>7.6</v>
      </c>
      <c r="F15" s="33">
        <v>7.2</v>
      </c>
      <c r="G15" s="33">
        <v>17.100000000000001</v>
      </c>
      <c r="H15" s="33">
        <v>113</v>
      </c>
    </row>
    <row r="16" spans="1:21" ht="15.75" customHeight="1" x14ac:dyDescent="0.5">
      <c r="A16" s="31">
        <v>15</v>
      </c>
      <c r="B16" s="31">
        <f t="shared" si="0"/>
        <v>6</v>
      </c>
      <c r="C16" s="73">
        <f t="shared" si="1"/>
        <v>45010</v>
      </c>
      <c r="D16" s="33">
        <v>44.82</v>
      </c>
      <c r="E16" s="33">
        <v>32.9</v>
      </c>
      <c r="F16" s="33">
        <v>46</v>
      </c>
      <c r="G16" s="33">
        <v>18.459999999999997</v>
      </c>
      <c r="H16" s="33">
        <v>191</v>
      </c>
    </row>
    <row r="17" spans="1:8" ht="15.75" customHeight="1" x14ac:dyDescent="0.5">
      <c r="A17" s="31">
        <v>16</v>
      </c>
      <c r="B17" s="31">
        <f t="shared" si="0"/>
        <v>7</v>
      </c>
      <c r="C17" s="73">
        <f t="shared" si="1"/>
        <v>45011</v>
      </c>
      <c r="D17" s="33">
        <v>42.08</v>
      </c>
      <c r="E17" s="33">
        <v>47.7</v>
      </c>
      <c r="F17" s="33">
        <v>52.9</v>
      </c>
      <c r="G17" s="33">
        <v>22.23</v>
      </c>
      <c r="H17" s="33">
        <v>240</v>
      </c>
    </row>
    <row r="18" spans="1:8" ht="15.75" customHeight="1" x14ac:dyDescent="0.5">
      <c r="A18" s="31">
        <v>17</v>
      </c>
      <c r="B18" s="31">
        <f t="shared" si="0"/>
        <v>1</v>
      </c>
      <c r="C18" s="73">
        <f t="shared" si="1"/>
        <v>45012</v>
      </c>
      <c r="D18" s="33">
        <v>89.06</v>
      </c>
      <c r="E18" s="33">
        <v>36.6</v>
      </c>
      <c r="F18" s="33">
        <v>93.625</v>
      </c>
      <c r="G18" s="33">
        <v>23.379999999999995</v>
      </c>
      <c r="H18" s="33">
        <v>135</v>
      </c>
    </row>
    <row r="19" spans="1:8" ht="15.75" customHeight="1" x14ac:dyDescent="0.5">
      <c r="A19" s="31">
        <v>18</v>
      </c>
      <c r="B19" s="31">
        <f t="shared" si="0"/>
        <v>2</v>
      </c>
      <c r="C19" s="73">
        <f t="shared" si="1"/>
        <v>45013</v>
      </c>
      <c r="D19" s="33">
        <v>62.279999999999994</v>
      </c>
      <c r="E19" s="33">
        <v>39.6</v>
      </c>
      <c r="F19" s="33">
        <v>55.8</v>
      </c>
      <c r="G19" s="33">
        <v>25.619999999999997</v>
      </c>
      <c r="H19" s="33">
        <v>258</v>
      </c>
    </row>
    <row r="20" spans="1:8" ht="15.75" customHeight="1" x14ac:dyDescent="0.5">
      <c r="A20" s="31">
        <v>19</v>
      </c>
      <c r="B20" s="31">
        <f t="shared" si="0"/>
        <v>3</v>
      </c>
      <c r="C20" s="73">
        <f t="shared" si="1"/>
        <v>45014</v>
      </c>
      <c r="D20" s="33">
        <v>14.84</v>
      </c>
      <c r="E20" s="33">
        <v>20.5</v>
      </c>
      <c r="F20" s="33">
        <v>18.3</v>
      </c>
      <c r="G20" s="33">
        <v>9.8500000000000014</v>
      </c>
      <c r="H20" s="33">
        <v>127</v>
      </c>
    </row>
    <row r="21" spans="1:8" ht="15.75" customHeight="1" x14ac:dyDescent="0.5">
      <c r="A21" s="31">
        <v>20</v>
      </c>
      <c r="B21" s="31">
        <f t="shared" si="0"/>
        <v>4</v>
      </c>
      <c r="C21" s="73">
        <f t="shared" si="1"/>
        <v>45015</v>
      </c>
      <c r="D21" s="33">
        <v>32.46</v>
      </c>
      <c r="E21" s="33">
        <v>23.9</v>
      </c>
      <c r="F21" s="33">
        <v>19.100000000000001</v>
      </c>
      <c r="G21" s="33">
        <v>19.04</v>
      </c>
      <c r="H21" s="33">
        <v>148</v>
      </c>
    </row>
    <row r="22" spans="1:8" ht="15.75" customHeight="1" x14ac:dyDescent="0.5">
      <c r="A22" s="31">
        <v>21</v>
      </c>
      <c r="B22" s="31">
        <f t="shared" si="0"/>
        <v>5</v>
      </c>
      <c r="C22" s="73">
        <f t="shared" si="1"/>
        <v>45016</v>
      </c>
      <c r="D22" s="33">
        <v>46.68</v>
      </c>
      <c r="E22" s="33">
        <v>27.7</v>
      </c>
      <c r="F22" s="33">
        <v>53.4</v>
      </c>
      <c r="G22" s="33">
        <v>14.329999999999998</v>
      </c>
      <c r="H22" s="33">
        <v>188</v>
      </c>
    </row>
    <row r="23" spans="1:8" ht="15.75" customHeight="1" x14ac:dyDescent="0.5">
      <c r="A23" s="31">
        <v>22</v>
      </c>
      <c r="B23" s="31">
        <f t="shared" si="0"/>
        <v>6</v>
      </c>
      <c r="C23" s="73">
        <f t="shared" si="1"/>
        <v>45017</v>
      </c>
      <c r="D23" s="33">
        <v>48.480000000000004</v>
      </c>
      <c r="E23" s="33">
        <v>76.949999999999989</v>
      </c>
      <c r="F23" s="33">
        <v>23.5</v>
      </c>
      <c r="G23" s="33">
        <v>16.89</v>
      </c>
      <c r="H23" s="33">
        <v>127</v>
      </c>
    </row>
    <row r="24" spans="1:8" ht="15.75" customHeight="1" x14ac:dyDescent="0.5">
      <c r="A24" s="31">
        <v>23</v>
      </c>
      <c r="B24" s="31">
        <f t="shared" si="0"/>
        <v>7</v>
      </c>
      <c r="C24" s="73">
        <f t="shared" si="1"/>
        <v>45018</v>
      </c>
      <c r="D24" s="33">
        <v>11.64</v>
      </c>
      <c r="E24" s="33">
        <v>15.9</v>
      </c>
      <c r="F24" s="33">
        <v>49.6</v>
      </c>
      <c r="G24" s="33">
        <v>9.4299999999999962</v>
      </c>
      <c r="H24" s="33">
        <v>170.89285714285714</v>
      </c>
    </row>
    <row r="25" spans="1:8" ht="15.75" customHeight="1" x14ac:dyDescent="0.5">
      <c r="A25" s="31">
        <v>24</v>
      </c>
      <c r="B25" s="31">
        <f t="shared" si="0"/>
        <v>1</v>
      </c>
      <c r="C25" s="73">
        <f t="shared" si="1"/>
        <v>45019</v>
      </c>
      <c r="D25" s="33">
        <v>49.660000000000004</v>
      </c>
      <c r="E25" s="33">
        <v>16.899999999999999</v>
      </c>
      <c r="F25" s="33">
        <v>26.2</v>
      </c>
      <c r="G25" s="33">
        <v>20.8</v>
      </c>
      <c r="H25" s="33">
        <v>175</v>
      </c>
    </row>
    <row r="26" spans="1:8" ht="15.75" customHeight="1" x14ac:dyDescent="0.5">
      <c r="A26" s="31">
        <v>25</v>
      </c>
      <c r="B26" s="31">
        <f t="shared" si="0"/>
        <v>2</v>
      </c>
      <c r="C26" s="73">
        <f t="shared" si="1"/>
        <v>45020</v>
      </c>
      <c r="D26" s="33">
        <v>20.46</v>
      </c>
      <c r="E26" s="33">
        <v>12.6</v>
      </c>
      <c r="F26" s="33">
        <v>18.3</v>
      </c>
      <c r="G26" s="33">
        <v>5.2099999999999991</v>
      </c>
      <c r="H26" s="33">
        <v>110</v>
      </c>
    </row>
    <row r="27" spans="1:8" ht="15.75" customHeight="1" x14ac:dyDescent="0.5">
      <c r="A27" s="31">
        <v>26</v>
      </c>
      <c r="B27" s="31">
        <f t="shared" si="0"/>
        <v>3</v>
      </c>
      <c r="C27" s="73">
        <f t="shared" si="1"/>
        <v>45021</v>
      </c>
      <c r="D27" s="33">
        <v>59.58</v>
      </c>
      <c r="E27" s="33">
        <v>3.5</v>
      </c>
      <c r="F27" s="33">
        <v>19.5</v>
      </c>
      <c r="G27" s="33">
        <v>20.239999999999998</v>
      </c>
      <c r="H27" s="33">
        <v>139</v>
      </c>
    </row>
    <row r="28" spans="1:8" ht="15.75" customHeight="1" x14ac:dyDescent="0.5">
      <c r="A28" s="31">
        <v>27</v>
      </c>
      <c r="B28" s="31">
        <f t="shared" si="0"/>
        <v>4</v>
      </c>
      <c r="C28" s="73">
        <f t="shared" si="1"/>
        <v>45022</v>
      </c>
      <c r="D28" s="33">
        <v>38.58</v>
      </c>
      <c r="E28" s="33">
        <v>29.3</v>
      </c>
      <c r="F28" s="33">
        <v>12.6</v>
      </c>
      <c r="G28" s="33">
        <v>23.900000000000002</v>
      </c>
      <c r="H28" s="33">
        <v>167</v>
      </c>
    </row>
    <row r="29" spans="1:8" ht="15.75" customHeight="1" x14ac:dyDescent="0.5">
      <c r="A29" s="31">
        <v>28</v>
      </c>
      <c r="B29" s="31">
        <f t="shared" si="0"/>
        <v>5</v>
      </c>
      <c r="C29" s="73">
        <f t="shared" si="1"/>
        <v>45023</v>
      </c>
      <c r="D29" s="33">
        <v>49.019999999999996</v>
      </c>
      <c r="E29" s="33">
        <v>16.7</v>
      </c>
      <c r="F29" s="33">
        <v>22.9</v>
      </c>
      <c r="G29" s="33">
        <v>23.2</v>
      </c>
      <c r="H29" s="33">
        <v>168</v>
      </c>
    </row>
    <row r="30" spans="1:8" ht="15.75" customHeight="1" x14ac:dyDescent="0.5">
      <c r="A30" s="31">
        <v>29</v>
      </c>
      <c r="B30" s="31">
        <f t="shared" si="0"/>
        <v>6</v>
      </c>
      <c r="C30" s="73">
        <f t="shared" si="1"/>
        <v>45024</v>
      </c>
      <c r="D30" s="33">
        <v>52.760000000000005</v>
      </c>
      <c r="E30" s="33">
        <v>27.1</v>
      </c>
      <c r="F30" s="33">
        <v>22.9</v>
      </c>
      <c r="G30" s="33">
        <v>29.270000000000007</v>
      </c>
      <c r="H30" s="33">
        <v>199</v>
      </c>
    </row>
    <row r="31" spans="1:8" ht="15.75" customHeight="1" x14ac:dyDescent="0.5">
      <c r="A31" s="31">
        <v>30</v>
      </c>
      <c r="B31" s="31">
        <f t="shared" si="0"/>
        <v>7</v>
      </c>
      <c r="C31" s="73">
        <f t="shared" si="1"/>
        <v>45025</v>
      </c>
      <c r="D31" s="33">
        <v>15.12</v>
      </c>
      <c r="E31" s="33">
        <v>16</v>
      </c>
      <c r="F31" s="33">
        <v>40.799999999999997</v>
      </c>
      <c r="G31" s="33">
        <v>18.739999999999998</v>
      </c>
      <c r="H31" s="33">
        <v>123</v>
      </c>
    </row>
    <row r="32" spans="1:8" ht="15.75" customHeight="1" x14ac:dyDescent="0.5">
      <c r="A32" s="31">
        <v>31</v>
      </c>
      <c r="B32" s="31">
        <f t="shared" si="0"/>
        <v>1</v>
      </c>
      <c r="C32" s="73">
        <f t="shared" si="1"/>
        <v>45026</v>
      </c>
      <c r="D32" s="33">
        <v>59.58</v>
      </c>
      <c r="E32" s="33">
        <v>28.3</v>
      </c>
      <c r="F32" s="33">
        <v>43.2</v>
      </c>
      <c r="G32" s="33">
        <v>26.159999999999997</v>
      </c>
      <c r="H32" s="33">
        <v>231</v>
      </c>
    </row>
    <row r="33" spans="1:8" ht="15.75" customHeight="1" x14ac:dyDescent="0.5">
      <c r="A33" s="31">
        <v>32</v>
      </c>
      <c r="B33" s="31">
        <f t="shared" si="0"/>
        <v>2</v>
      </c>
      <c r="C33" s="73">
        <f t="shared" si="1"/>
        <v>45027</v>
      </c>
      <c r="D33" s="33">
        <v>92.987500000000011</v>
      </c>
      <c r="E33" s="33">
        <v>17.399999999999999</v>
      </c>
      <c r="F33" s="33">
        <v>38.6</v>
      </c>
      <c r="G33" s="33">
        <v>37.253750000000011</v>
      </c>
      <c r="H33" s="33">
        <v>126</v>
      </c>
    </row>
    <row r="34" spans="1:8" ht="15.75" customHeight="1" x14ac:dyDescent="0.5">
      <c r="A34" s="31">
        <v>33</v>
      </c>
      <c r="B34" s="31">
        <f t="shared" ref="B34:B65" si="6">WEEKDAY(C34,2)</f>
        <v>3</v>
      </c>
      <c r="C34" s="73">
        <f t="shared" ref="C34:C65" si="7">+C35-1</f>
        <v>45028</v>
      </c>
      <c r="D34" s="33">
        <v>20.440000000000001</v>
      </c>
      <c r="E34" s="33">
        <v>1.5</v>
      </c>
      <c r="F34" s="33">
        <v>30</v>
      </c>
      <c r="G34" s="33">
        <v>18.47</v>
      </c>
      <c r="H34" s="33">
        <v>112</v>
      </c>
    </row>
    <row r="35" spans="1:8" ht="15.75" customHeight="1" x14ac:dyDescent="0.5">
      <c r="A35" s="31">
        <v>34</v>
      </c>
      <c r="B35" s="31">
        <f t="shared" si="6"/>
        <v>4</v>
      </c>
      <c r="C35" s="73">
        <f t="shared" si="7"/>
        <v>45029</v>
      </c>
      <c r="D35" s="33">
        <v>61.120000000000005</v>
      </c>
      <c r="E35" s="33">
        <v>20</v>
      </c>
      <c r="F35" s="33">
        <v>0.3</v>
      </c>
      <c r="G35" s="33">
        <v>36.440000000000005</v>
      </c>
      <c r="H35" s="33">
        <v>184</v>
      </c>
    </row>
    <row r="36" spans="1:8" ht="15.75" customHeight="1" x14ac:dyDescent="0.5">
      <c r="A36" s="31">
        <v>35</v>
      </c>
      <c r="B36" s="31">
        <f t="shared" si="6"/>
        <v>5</v>
      </c>
      <c r="C36" s="73">
        <f t="shared" si="7"/>
        <v>45030</v>
      </c>
      <c r="D36" s="33">
        <v>24.14</v>
      </c>
      <c r="E36" s="33">
        <v>1.4</v>
      </c>
      <c r="F36" s="33">
        <v>7.4</v>
      </c>
      <c r="G36" s="33">
        <v>7.3099999999999987</v>
      </c>
      <c r="H36" s="33">
        <v>91.5</v>
      </c>
    </row>
    <row r="37" spans="1:8" ht="15.75" customHeight="1" x14ac:dyDescent="0.5">
      <c r="A37" s="31">
        <v>36</v>
      </c>
      <c r="B37" s="31">
        <f t="shared" si="6"/>
        <v>6</v>
      </c>
      <c r="C37" s="73">
        <f t="shared" si="7"/>
        <v>45031</v>
      </c>
      <c r="D37" s="33">
        <v>62.14</v>
      </c>
      <c r="E37" s="33">
        <v>4.0999999999999996</v>
      </c>
      <c r="F37" s="33">
        <v>8.5</v>
      </c>
      <c r="G37" s="33">
        <v>27.72</v>
      </c>
      <c r="H37" s="33">
        <v>129</v>
      </c>
    </row>
    <row r="38" spans="1:8" ht="15.75" customHeight="1" x14ac:dyDescent="0.5">
      <c r="A38" s="31">
        <v>37</v>
      </c>
      <c r="B38" s="31">
        <f t="shared" si="6"/>
        <v>7</v>
      </c>
      <c r="C38" s="73">
        <f t="shared" si="7"/>
        <v>45032</v>
      </c>
      <c r="D38" s="33">
        <v>56.379999999999995</v>
      </c>
      <c r="E38" s="33">
        <v>43.8</v>
      </c>
      <c r="F38" s="33">
        <v>5</v>
      </c>
      <c r="G38" s="33">
        <v>41.756249999999994</v>
      </c>
      <c r="H38" s="33">
        <v>256</v>
      </c>
    </row>
    <row r="39" spans="1:8" ht="15.75" customHeight="1" x14ac:dyDescent="0.5">
      <c r="A39" s="31">
        <v>38</v>
      </c>
      <c r="B39" s="31">
        <f t="shared" si="6"/>
        <v>1</v>
      </c>
      <c r="C39" s="73">
        <f t="shared" si="7"/>
        <v>45033</v>
      </c>
      <c r="D39" s="33">
        <v>24.94</v>
      </c>
      <c r="E39" s="33">
        <v>49.4</v>
      </c>
      <c r="F39" s="33">
        <v>45.7</v>
      </c>
      <c r="G39" s="33">
        <v>13.89</v>
      </c>
      <c r="H39" s="33">
        <v>152</v>
      </c>
    </row>
    <row r="40" spans="1:8" ht="15.75" customHeight="1" x14ac:dyDescent="0.5">
      <c r="A40" s="31">
        <v>39</v>
      </c>
      <c r="B40" s="31">
        <f t="shared" si="6"/>
        <v>2</v>
      </c>
      <c r="C40" s="73">
        <f t="shared" si="7"/>
        <v>45034</v>
      </c>
      <c r="D40" s="33">
        <v>14.620000000000001</v>
      </c>
      <c r="E40" s="33">
        <v>26.7</v>
      </c>
      <c r="F40" s="33">
        <v>35.1</v>
      </c>
      <c r="G40" s="33">
        <v>3.6199999999999992</v>
      </c>
      <c r="H40" s="33">
        <v>114</v>
      </c>
    </row>
    <row r="41" spans="1:8" ht="15.75" customHeight="1" x14ac:dyDescent="0.5">
      <c r="A41" s="31">
        <v>40</v>
      </c>
      <c r="B41" s="31">
        <f t="shared" si="6"/>
        <v>3</v>
      </c>
      <c r="C41" s="73">
        <f t="shared" si="7"/>
        <v>45035</v>
      </c>
      <c r="D41" s="33">
        <v>53.6</v>
      </c>
      <c r="E41" s="33">
        <v>37.700000000000003</v>
      </c>
      <c r="F41" s="33">
        <v>32</v>
      </c>
      <c r="G41" s="33">
        <v>28.850000000000005</v>
      </c>
      <c r="H41" s="33">
        <v>230</v>
      </c>
    </row>
    <row r="42" spans="1:8" ht="15.75" customHeight="1" x14ac:dyDescent="0.5">
      <c r="A42" s="31">
        <v>41</v>
      </c>
      <c r="B42" s="31">
        <f t="shared" si="6"/>
        <v>4</v>
      </c>
      <c r="C42" s="73">
        <f t="shared" si="7"/>
        <v>45036</v>
      </c>
      <c r="D42" s="33">
        <v>45.5</v>
      </c>
      <c r="E42" s="33">
        <v>22.3</v>
      </c>
      <c r="F42" s="33">
        <v>31.6</v>
      </c>
      <c r="G42" s="33">
        <v>18.759999999999998</v>
      </c>
      <c r="H42" s="33">
        <v>179</v>
      </c>
    </row>
    <row r="43" spans="1:8" ht="15.75" customHeight="1" x14ac:dyDescent="0.5">
      <c r="A43" s="31">
        <v>42</v>
      </c>
      <c r="B43" s="31">
        <f t="shared" si="6"/>
        <v>5</v>
      </c>
      <c r="C43" s="73">
        <f t="shared" si="7"/>
        <v>45037</v>
      </c>
      <c r="D43" s="33">
        <v>40.4</v>
      </c>
      <c r="E43" s="33">
        <v>33.4</v>
      </c>
      <c r="F43" s="33">
        <v>38.700000000000003</v>
      </c>
      <c r="G43" s="33">
        <v>18.919999999999995</v>
      </c>
      <c r="H43" s="33">
        <v>186</v>
      </c>
    </row>
    <row r="44" spans="1:8" ht="15.75" customHeight="1" x14ac:dyDescent="0.5">
      <c r="A44" s="31">
        <v>43</v>
      </c>
      <c r="B44" s="31">
        <f t="shared" si="6"/>
        <v>6</v>
      </c>
      <c r="C44" s="73">
        <f t="shared" si="7"/>
        <v>45038</v>
      </c>
      <c r="D44" s="33">
        <v>67.72</v>
      </c>
      <c r="E44" s="33">
        <v>27.7</v>
      </c>
      <c r="F44" s="33">
        <v>1.8</v>
      </c>
      <c r="G44" s="33">
        <v>41.756249999999994</v>
      </c>
      <c r="H44" s="33">
        <v>226</v>
      </c>
    </row>
    <row r="45" spans="1:8" ht="15.75" customHeight="1" x14ac:dyDescent="0.5">
      <c r="A45" s="31">
        <v>44</v>
      </c>
      <c r="B45" s="31">
        <f t="shared" si="6"/>
        <v>7</v>
      </c>
      <c r="C45" s="73">
        <f t="shared" si="7"/>
        <v>45039</v>
      </c>
      <c r="D45" s="33">
        <v>51.38</v>
      </c>
      <c r="E45" s="33">
        <v>8.4</v>
      </c>
      <c r="F45" s="33">
        <v>26.4</v>
      </c>
      <c r="G45" s="33">
        <v>14.33</v>
      </c>
      <c r="H45" s="33">
        <v>149</v>
      </c>
    </row>
    <row r="46" spans="1:8" ht="15.75" customHeight="1" x14ac:dyDescent="0.5">
      <c r="A46" s="31">
        <v>45</v>
      </c>
      <c r="B46" s="31">
        <f t="shared" si="6"/>
        <v>1</v>
      </c>
      <c r="C46" s="73">
        <f t="shared" si="7"/>
        <v>45040</v>
      </c>
      <c r="D46" s="33">
        <v>12.02</v>
      </c>
      <c r="E46" s="33">
        <v>25.7</v>
      </c>
      <c r="F46" s="33">
        <v>43.3</v>
      </c>
      <c r="G46" s="33">
        <v>18.04</v>
      </c>
      <c r="H46" s="33">
        <v>89</v>
      </c>
    </row>
    <row r="47" spans="1:8" ht="15.75" customHeight="1" x14ac:dyDescent="0.5">
      <c r="A47" s="31">
        <v>46</v>
      </c>
      <c r="B47" s="31">
        <f t="shared" si="6"/>
        <v>2</v>
      </c>
      <c r="C47" s="73">
        <f t="shared" si="7"/>
        <v>45041</v>
      </c>
      <c r="D47" s="33">
        <v>42.019999999999996</v>
      </c>
      <c r="E47" s="33">
        <v>22.5</v>
      </c>
      <c r="F47" s="33">
        <v>31.5</v>
      </c>
      <c r="G47" s="33">
        <v>16.159999999999997</v>
      </c>
      <c r="H47" s="33">
        <v>165</v>
      </c>
    </row>
    <row r="48" spans="1:8" ht="15.75" customHeight="1" x14ac:dyDescent="0.5">
      <c r="A48" s="31">
        <v>47</v>
      </c>
      <c r="B48" s="31">
        <f t="shared" si="6"/>
        <v>3</v>
      </c>
      <c r="C48" s="73">
        <f t="shared" si="7"/>
        <v>45042</v>
      </c>
      <c r="D48" s="33">
        <v>18.940000000000001</v>
      </c>
      <c r="E48" s="33">
        <v>9.9</v>
      </c>
      <c r="F48" s="33">
        <v>35.700000000000003</v>
      </c>
      <c r="G48" s="33">
        <v>19.64</v>
      </c>
      <c r="H48" s="33">
        <v>119</v>
      </c>
    </row>
    <row r="49" spans="1:8" ht="15.75" customHeight="1" x14ac:dyDescent="0.5">
      <c r="A49" s="31">
        <v>48</v>
      </c>
      <c r="B49" s="31">
        <f t="shared" si="6"/>
        <v>4</v>
      </c>
      <c r="C49" s="73">
        <f t="shared" si="7"/>
        <v>45043</v>
      </c>
      <c r="D49" s="33">
        <v>52.980000000000004</v>
      </c>
      <c r="E49" s="33">
        <v>41.5</v>
      </c>
      <c r="F49" s="33">
        <v>18.5</v>
      </c>
      <c r="G49" s="33">
        <v>37.340000000000003</v>
      </c>
      <c r="H49" s="33">
        <v>245</v>
      </c>
    </row>
    <row r="50" spans="1:8" ht="15.75" customHeight="1" x14ac:dyDescent="0.5">
      <c r="A50" s="31">
        <v>49</v>
      </c>
      <c r="B50" s="31">
        <f t="shared" si="6"/>
        <v>5</v>
      </c>
      <c r="C50" s="73">
        <f t="shared" si="7"/>
        <v>45044</v>
      </c>
      <c r="D50" s="33">
        <v>46.44</v>
      </c>
      <c r="E50" s="33">
        <v>15.8</v>
      </c>
      <c r="F50" s="33">
        <v>49.9</v>
      </c>
      <c r="G50" s="33">
        <v>10.659999999999997</v>
      </c>
      <c r="H50" s="33">
        <v>149</v>
      </c>
    </row>
    <row r="51" spans="1:8" ht="15.75" customHeight="1" x14ac:dyDescent="0.5">
      <c r="A51" s="31">
        <v>50</v>
      </c>
      <c r="B51" s="31">
        <f t="shared" si="6"/>
        <v>6</v>
      </c>
      <c r="C51" s="73">
        <f t="shared" si="7"/>
        <v>45045</v>
      </c>
      <c r="D51" s="33">
        <v>14.38</v>
      </c>
      <c r="E51" s="33">
        <v>11.7</v>
      </c>
      <c r="F51" s="33">
        <v>36.799999999999997</v>
      </c>
      <c r="G51" s="33">
        <v>17.82</v>
      </c>
      <c r="H51" s="33">
        <v>111</v>
      </c>
    </row>
    <row r="52" spans="1:8" ht="15.75" customHeight="1" x14ac:dyDescent="0.5">
      <c r="A52" s="31">
        <v>51</v>
      </c>
      <c r="B52" s="31">
        <f t="shared" si="6"/>
        <v>7</v>
      </c>
      <c r="C52" s="73">
        <f t="shared" si="7"/>
        <v>45046</v>
      </c>
      <c r="D52" s="33">
        <v>43.96</v>
      </c>
      <c r="E52" s="33">
        <v>3.1</v>
      </c>
      <c r="F52" s="33">
        <v>34.6</v>
      </c>
      <c r="G52" s="33">
        <v>7.6899999999999995</v>
      </c>
      <c r="H52" s="33">
        <v>122</v>
      </c>
    </row>
    <row r="53" spans="1:8" ht="15.75" customHeight="1" x14ac:dyDescent="0.5">
      <c r="A53" s="31">
        <v>52</v>
      </c>
      <c r="B53" s="31">
        <f t="shared" si="6"/>
        <v>1</v>
      </c>
      <c r="C53" s="73">
        <f t="shared" si="7"/>
        <v>45047</v>
      </c>
      <c r="D53" s="33">
        <v>29.080000000000002</v>
      </c>
      <c r="E53" s="33">
        <v>9.6</v>
      </c>
      <c r="F53" s="33">
        <v>3.6</v>
      </c>
      <c r="G53" s="33">
        <v>13.4</v>
      </c>
      <c r="H53" s="33">
        <v>112</v>
      </c>
    </row>
    <row r="54" spans="1:8" ht="15.75" customHeight="1" x14ac:dyDescent="0.5">
      <c r="A54" s="31">
        <v>53</v>
      </c>
      <c r="B54" s="31">
        <f t="shared" si="6"/>
        <v>2</v>
      </c>
      <c r="C54" s="73">
        <f t="shared" si="7"/>
        <v>45048</v>
      </c>
      <c r="D54" s="33">
        <v>44.28</v>
      </c>
      <c r="E54" s="33">
        <v>41.7</v>
      </c>
      <c r="F54" s="33">
        <v>39.6</v>
      </c>
      <c r="G54" s="33">
        <v>26.65</v>
      </c>
      <c r="H54" s="33">
        <v>235</v>
      </c>
    </row>
    <row r="55" spans="1:8" ht="15.75" customHeight="1" x14ac:dyDescent="0.5">
      <c r="A55" s="31">
        <v>54</v>
      </c>
      <c r="B55" s="31">
        <f t="shared" si="6"/>
        <v>3</v>
      </c>
      <c r="C55" s="73">
        <f t="shared" si="7"/>
        <v>45049</v>
      </c>
      <c r="D55" s="33">
        <v>41.519999999999996</v>
      </c>
      <c r="E55" s="33">
        <v>46.2</v>
      </c>
      <c r="F55" s="33">
        <v>58.7</v>
      </c>
      <c r="G55" s="33">
        <v>17.879999999999995</v>
      </c>
      <c r="H55" s="33">
        <v>225</v>
      </c>
    </row>
    <row r="56" spans="1:8" ht="15.75" customHeight="1" x14ac:dyDescent="0.5">
      <c r="A56" s="31">
        <v>55</v>
      </c>
      <c r="B56" s="31">
        <f t="shared" si="6"/>
        <v>4</v>
      </c>
      <c r="C56" s="73">
        <f t="shared" si="7"/>
        <v>45050</v>
      </c>
      <c r="D56" s="33">
        <v>62.54</v>
      </c>
      <c r="E56" s="33">
        <v>28.8</v>
      </c>
      <c r="F56" s="33">
        <v>15.9</v>
      </c>
      <c r="G56" s="33">
        <v>34.31</v>
      </c>
      <c r="H56" s="33">
        <v>220</v>
      </c>
    </row>
    <row r="57" spans="1:8" ht="15.75" customHeight="1" x14ac:dyDescent="0.5">
      <c r="A57" s="31">
        <v>56</v>
      </c>
      <c r="B57" s="31">
        <f t="shared" si="6"/>
        <v>5</v>
      </c>
      <c r="C57" s="73">
        <f t="shared" si="7"/>
        <v>45051</v>
      </c>
      <c r="D57" s="33">
        <v>40.78</v>
      </c>
      <c r="E57" s="33">
        <v>49.4</v>
      </c>
      <c r="F57" s="33">
        <v>60</v>
      </c>
      <c r="G57" s="33">
        <v>20.590000000000003</v>
      </c>
      <c r="H57" s="33">
        <v>240</v>
      </c>
    </row>
    <row r="58" spans="1:8" ht="15.75" customHeight="1" x14ac:dyDescent="0.5">
      <c r="A58" s="31">
        <v>57</v>
      </c>
      <c r="B58" s="31">
        <f t="shared" si="6"/>
        <v>6</v>
      </c>
      <c r="C58" s="73">
        <f t="shared" si="7"/>
        <v>45052</v>
      </c>
      <c r="D58" s="33">
        <v>3.46</v>
      </c>
      <c r="E58" s="33">
        <v>28.1</v>
      </c>
      <c r="F58" s="33">
        <v>41.4</v>
      </c>
      <c r="G58" s="33">
        <v>18.220000000000002</v>
      </c>
      <c r="H58" s="33">
        <v>71</v>
      </c>
    </row>
    <row r="59" spans="1:8" ht="15.75" customHeight="1" x14ac:dyDescent="0.5">
      <c r="A59" s="31">
        <v>58</v>
      </c>
      <c r="B59" s="31">
        <f t="shared" si="6"/>
        <v>7</v>
      </c>
      <c r="C59" s="73">
        <f t="shared" si="7"/>
        <v>45053</v>
      </c>
      <c r="D59" s="33">
        <v>33.239999999999995</v>
      </c>
      <c r="E59" s="33">
        <v>19.2</v>
      </c>
      <c r="F59" s="33">
        <v>16.600000000000001</v>
      </c>
      <c r="G59" s="33">
        <v>16.579999999999998</v>
      </c>
      <c r="H59" s="33">
        <v>133</v>
      </c>
    </row>
    <row r="60" spans="1:8" ht="15.75" customHeight="1" x14ac:dyDescent="0.5">
      <c r="A60" s="31">
        <v>59</v>
      </c>
      <c r="B60" s="31">
        <f t="shared" si="6"/>
        <v>1</v>
      </c>
      <c r="C60" s="73">
        <f t="shared" si="7"/>
        <v>45054</v>
      </c>
      <c r="D60" s="33">
        <v>49.160000000000004</v>
      </c>
      <c r="E60" s="33">
        <v>49.6</v>
      </c>
      <c r="F60" s="33">
        <v>37.700000000000003</v>
      </c>
      <c r="G60" s="33">
        <v>30.8</v>
      </c>
      <c r="H60" s="33">
        <v>239</v>
      </c>
    </row>
    <row r="61" spans="1:8" ht="15.75" customHeight="1" x14ac:dyDescent="0.5">
      <c r="A61" s="31">
        <v>60</v>
      </c>
      <c r="B61" s="31">
        <f t="shared" si="6"/>
        <v>2</v>
      </c>
      <c r="C61" s="73">
        <f t="shared" si="7"/>
        <v>45055</v>
      </c>
      <c r="D61" s="33">
        <v>50.14</v>
      </c>
      <c r="E61" s="33">
        <v>29.5</v>
      </c>
      <c r="F61" s="33">
        <v>9.3000000000000007</v>
      </c>
      <c r="G61" s="33">
        <v>32.1</v>
      </c>
      <c r="H61" s="33">
        <v>186</v>
      </c>
    </row>
    <row r="62" spans="1:8" ht="15.75" customHeight="1" x14ac:dyDescent="0.5">
      <c r="A62" s="31">
        <v>61</v>
      </c>
      <c r="B62" s="31">
        <f t="shared" si="6"/>
        <v>3</v>
      </c>
      <c r="C62" s="73">
        <f t="shared" si="7"/>
        <v>45056</v>
      </c>
      <c r="D62" s="33">
        <v>16.7</v>
      </c>
      <c r="E62" s="33">
        <v>2</v>
      </c>
      <c r="F62" s="33">
        <v>21.4</v>
      </c>
      <c r="G62" s="33">
        <v>17.79</v>
      </c>
      <c r="H62" s="33">
        <v>83</v>
      </c>
    </row>
    <row r="63" spans="1:8" ht="15.75" customHeight="1" x14ac:dyDescent="0.5">
      <c r="A63" s="31">
        <v>62</v>
      </c>
      <c r="B63" s="31">
        <f t="shared" si="6"/>
        <v>4</v>
      </c>
      <c r="C63" s="73">
        <f t="shared" si="7"/>
        <v>45057</v>
      </c>
      <c r="D63" s="33">
        <v>61.260000000000005</v>
      </c>
      <c r="E63" s="33">
        <v>42.7</v>
      </c>
      <c r="F63" s="33">
        <v>54.7</v>
      </c>
      <c r="G63" s="33">
        <v>25.6</v>
      </c>
      <c r="H63" s="33">
        <v>240</v>
      </c>
    </row>
    <row r="64" spans="1:8" ht="15.75" customHeight="1" x14ac:dyDescent="0.5">
      <c r="A64" s="31">
        <v>63</v>
      </c>
      <c r="B64" s="31">
        <f t="shared" si="6"/>
        <v>5</v>
      </c>
      <c r="C64" s="73">
        <f t="shared" si="7"/>
        <v>45058</v>
      </c>
      <c r="D64" s="33">
        <v>53.86</v>
      </c>
      <c r="E64" s="33">
        <v>15.5</v>
      </c>
      <c r="F64" s="33">
        <v>27.3</v>
      </c>
      <c r="G64" s="33">
        <v>20.759999999999998</v>
      </c>
      <c r="H64" s="33">
        <v>170</v>
      </c>
    </row>
    <row r="65" spans="1:8" ht="15.75" customHeight="1" x14ac:dyDescent="0.5">
      <c r="A65" s="31">
        <v>64</v>
      </c>
      <c r="B65" s="31">
        <f t="shared" si="6"/>
        <v>6</v>
      </c>
      <c r="C65" s="73">
        <f t="shared" si="7"/>
        <v>45059</v>
      </c>
      <c r="D65" s="33">
        <v>27.54</v>
      </c>
      <c r="E65" s="33">
        <v>29.6</v>
      </c>
      <c r="F65" s="33">
        <v>8.4</v>
      </c>
      <c r="G65" s="33">
        <v>21.71</v>
      </c>
      <c r="H65" s="33">
        <v>291.75</v>
      </c>
    </row>
    <row r="66" spans="1:8" ht="15.75" customHeight="1" x14ac:dyDescent="0.5">
      <c r="A66" s="31">
        <v>65</v>
      </c>
      <c r="B66" s="31">
        <f t="shared" ref="B66:B97" si="8">WEEKDAY(C66,2)</f>
        <v>7</v>
      </c>
      <c r="C66" s="73">
        <f t="shared" ref="C66:C97" si="9">+C67-1</f>
        <v>45060</v>
      </c>
      <c r="D66" s="33">
        <v>27.22</v>
      </c>
      <c r="E66" s="33">
        <v>42.8</v>
      </c>
      <c r="F66" s="33">
        <v>28.9</v>
      </c>
      <c r="G66" s="33">
        <v>22.949999999999996</v>
      </c>
      <c r="H66" s="33">
        <v>187</v>
      </c>
    </row>
    <row r="67" spans="1:8" ht="15.75" customHeight="1" x14ac:dyDescent="0.5">
      <c r="A67" s="31">
        <v>66</v>
      </c>
      <c r="B67" s="31">
        <f t="shared" si="8"/>
        <v>1</v>
      </c>
      <c r="C67" s="73">
        <f t="shared" si="9"/>
        <v>45061</v>
      </c>
      <c r="D67" s="33">
        <v>21.8</v>
      </c>
      <c r="E67" s="33">
        <v>9.3000000000000007</v>
      </c>
      <c r="F67" s="33">
        <v>0.9</v>
      </c>
      <c r="G67" s="33">
        <v>11.190000000000001</v>
      </c>
      <c r="H67" s="33">
        <v>109</v>
      </c>
    </row>
    <row r="68" spans="1:8" ht="15.75" customHeight="1" x14ac:dyDescent="0.5">
      <c r="A68" s="31">
        <v>67</v>
      </c>
      <c r="B68" s="31">
        <f t="shared" si="8"/>
        <v>2</v>
      </c>
      <c r="C68" s="73">
        <f t="shared" si="9"/>
        <v>45062</v>
      </c>
      <c r="D68" s="33">
        <v>15.3</v>
      </c>
      <c r="E68" s="33">
        <v>24.6</v>
      </c>
      <c r="F68" s="33">
        <v>2.2000000000000002</v>
      </c>
      <c r="G68" s="33">
        <v>14.57</v>
      </c>
      <c r="H68" s="33">
        <v>104</v>
      </c>
    </row>
    <row r="69" spans="1:8" ht="15.75" customHeight="1" x14ac:dyDescent="0.5">
      <c r="A69" s="31">
        <v>68</v>
      </c>
      <c r="B69" s="31">
        <f t="shared" si="8"/>
        <v>3</v>
      </c>
      <c r="C69" s="73">
        <f t="shared" si="9"/>
        <v>45063</v>
      </c>
      <c r="D69" s="33">
        <v>30.860000000000003</v>
      </c>
      <c r="E69" s="33">
        <v>14.5</v>
      </c>
      <c r="F69" s="33">
        <v>10.199999999999999</v>
      </c>
      <c r="G69" s="33">
        <v>17.100000000000001</v>
      </c>
      <c r="H69" s="33">
        <v>135</v>
      </c>
    </row>
    <row r="70" spans="1:8" ht="15.75" customHeight="1" x14ac:dyDescent="0.5">
      <c r="A70" s="31">
        <v>69</v>
      </c>
      <c r="B70" s="31">
        <f t="shared" si="8"/>
        <v>4</v>
      </c>
      <c r="C70" s="73">
        <f t="shared" si="9"/>
        <v>45064</v>
      </c>
      <c r="D70" s="33">
        <v>51.480000000000004</v>
      </c>
      <c r="E70" s="33">
        <v>27.5</v>
      </c>
      <c r="F70" s="33">
        <v>11</v>
      </c>
      <c r="G70" s="33">
        <v>33.090000000000003</v>
      </c>
      <c r="H70" s="33">
        <v>196</v>
      </c>
    </row>
    <row r="71" spans="1:8" ht="15.75" customHeight="1" x14ac:dyDescent="0.5">
      <c r="A71" s="31">
        <v>70</v>
      </c>
      <c r="B71" s="31">
        <f t="shared" si="8"/>
        <v>5</v>
      </c>
      <c r="C71" s="73">
        <f t="shared" si="9"/>
        <v>45065</v>
      </c>
      <c r="D71" s="33">
        <v>48.36</v>
      </c>
      <c r="E71" s="33">
        <v>43.9</v>
      </c>
      <c r="F71" s="33">
        <v>27.2</v>
      </c>
      <c r="G71" s="33">
        <v>32.749999999999993</v>
      </c>
      <c r="H71" s="33">
        <v>229</v>
      </c>
    </row>
    <row r="72" spans="1:8" ht="15.75" customHeight="1" x14ac:dyDescent="0.5">
      <c r="A72" s="31">
        <v>71</v>
      </c>
      <c r="B72" s="31">
        <f t="shared" si="8"/>
        <v>6</v>
      </c>
      <c r="C72" s="73">
        <f t="shared" si="9"/>
        <v>45066</v>
      </c>
      <c r="D72" s="33">
        <v>44.82</v>
      </c>
      <c r="E72" s="33">
        <v>30.6</v>
      </c>
      <c r="F72" s="33">
        <v>38.700000000000003</v>
      </c>
      <c r="G72" s="33">
        <v>19.729999999999997</v>
      </c>
      <c r="H72" s="33">
        <v>196</v>
      </c>
    </row>
    <row r="73" spans="1:8" ht="15.75" customHeight="1" x14ac:dyDescent="0.5">
      <c r="A73" s="31">
        <v>72</v>
      </c>
      <c r="B73" s="31">
        <f t="shared" si="8"/>
        <v>7</v>
      </c>
      <c r="C73" s="73">
        <f t="shared" si="9"/>
        <v>45067</v>
      </c>
      <c r="D73" s="33">
        <v>29.96</v>
      </c>
      <c r="E73" s="33">
        <v>14.3</v>
      </c>
      <c r="F73" s="33">
        <v>31.7</v>
      </c>
      <c r="G73" s="33">
        <v>5.4500000000000028</v>
      </c>
      <c r="H73" s="33">
        <v>129</v>
      </c>
    </row>
    <row r="74" spans="1:8" ht="15.75" customHeight="1" x14ac:dyDescent="0.5">
      <c r="A74" s="31">
        <v>73</v>
      </c>
      <c r="B74" s="31">
        <f t="shared" si="8"/>
        <v>1</v>
      </c>
      <c r="C74" s="73">
        <f t="shared" si="9"/>
        <v>45068</v>
      </c>
      <c r="D74" s="33">
        <v>15.36</v>
      </c>
      <c r="E74" s="33">
        <v>33</v>
      </c>
      <c r="F74" s="33">
        <v>19.3</v>
      </c>
      <c r="G74" s="33">
        <v>11.459999999999999</v>
      </c>
      <c r="H74" s="33">
        <v>106</v>
      </c>
    </row>
    <row r="75" spans="1:8" ht="15.75" customHeight="1" x14ac:dyDescent="0.5">
      <c r="A75" s="31">
        <v>74</v>
      </c>
      <c r="B75" s="31">
        <f t="shared" si="8"/>
        <v>2</v>
      </c>
      <c r="C75" s="73">
        <f t="shared" si="9"/>
        <v>45069</v>
      </c>
      <c r="D75" s="33">
        <v>28.880000000000003</v>
      </c>
      <c r="E75" s="33">
        <v>5.7</v>
      </c>
      <c r="F75" s="33">
        <v>31.3</v>
      </c>
      <c r="G75" s="33">
        <v>3.2699999999999996</v>
      </c>
      <c r="H75" s="33">
        <v>117</v>
      </c>
    </row>
    <row r="76" spans="1:8" ht="15.75" customHeight="1" x14ac:dyDescent="0.5">
      <c r="A76" s="31">
        <v>75</v>
      </c>
      <c r="B76" s="31">
        <f t="shared" si="8"/>
        <v>3</v>
      </c>
      <c r="C76" s="73">
        <f t="shared" si="9"/>
        <v>45070</v>
      </c>
      <c r="D76" s="33">
        <v>50.68</v>
      </c>
      <c r="E76" s="33">
        <v>0</v>
      </c>
      <c r="F76" s="33">
        <v>13.1</v>
      </c>
      <c r="G76" s="33">
        <v>28.4</v>
      </c>
      <c r="H76" s="33">
        <v>187</v>
      </c>
    </row>
    <row r="77" spans="1:8" ht="15.75" customHeight="1" x14ac:dyDescent="0.5">
      <c r="A77" s="31">
        <v>76</v>
      </c>
      <c r="B77" s="31">
        <f t="shared" si="8"/>
        <v>4</v>
      </c>
      <c r="C77" s="73">
        <f t="shared" si="9"/>
        <v>45071</v>
      </c>
      <c r="D77" s="33">
        <v>12.379999999999999</v>
      </c>
      <c r="E77" s="33">
        <v>43.7</v>
      </c>
      <c r="F77" s="33">
        <v>89.4</v>
      </c>
      <c r="G77" s="33">
        <v>7.7799999999999976</v>
      </c>
      <c r="H77" s="33">
        <v>105</v>
      </c>
    </row>
    <row r="78" spans="1:8" ht="15.75" customHeight="1" x14ac:dyDescent="0.5">
      <c r="A78" s="31">
        <v>77</v>
      </c>
      <c r="B78" s="31">
        <f t="shared" si="8"/>
        <v>5</v>
      </c>
      <c r="C78" s="73">
        <f t="shared" si="9"/>
        <v>45072</v>
      </c>
      <c r="D78" s="33">
        <v>13.5</v>
      </c>
      <c r="E78" s="33">
        <v>1.6</v>
      </c>
      <c r="F78" s="33">
        <v>20.7</v>
      </c>
      <c r="G78" s="33">
        <v>15.27</v>
      </c>
      <c r="H78" s="33">
        <v>83</v>
      </c>
    </row>
    <row r="79" spans="1:8" ht="15.75" customHeight="1" x14ac:dyDescent="0.5">
      <c r="A79" s="31">
        <v>78</v>
      </c>
      <c r="B79" s="31">
        <f t="shared" si="8"/>
        <v>6</v>
      </c>
      <c r="C79" s="73">
        <f t="shared" si="9"/>
        <v>45073</v>
      </c>
      <c r="D79" s="33">
        <v>25.1</v>
      </c>
      <c r="E79" s="33">
        <v>28.5</v>
      </c>
      <c r="F79" s="33">
        <v>14.2</v>
      </c>
      <c r="G79" s="33">
        <v>20.62</v>
      </c>
      <c r="H79" s="33">
        <v>149</v>
      </c>
    </row>
    <row r="80" spans="1:8" ht="15.75" customHeight="1" x14ac:dyDescent="0.5">
      <c r="A80" s="31">
        <v>79</v>
      </c>
      <c r="B80" s="31">
        <f t="shared" si="8"/>
        <v>7</v>
      </c>
      <c r="C80" s="73">
        <f t="shared" si="9"/>
        <v>45074</v>
      </c>
      <c r="D80" s="33">
        <v>8.08</v>
      </c>
      <c r="E80" s="33">
        <v>29.9</v>
      </c>
      <c r="F80" s="33">
        <v>9.4</v>
      </c>
      <c r="G80" s="33">
        <v>11.729999999999999</v>
      </c>
      <c r="H80" s="33">
        <v>62</v>
      </c>
    </row>
    <row r="81" spans="1:8" ht="15.75" customHeight="1" x14ac:dyDescent="0.5">
      <c r="A81" s="31">
        <v>80</v>
      </c>
      <c r="B81" s="31">
        <f t="shared" si="8"/>
        <v>1</v>
      </c>
      <c r="C81" s="73">
        <f t="shared" si="9"/>
        <v>45075</v>
      </c>
      <c r="D81" s="33">
        <v>31.2</v>
      </c>
      <c r="E81" s="33">
        <v>7.7</v>
      </c>
      <c r="F81" s="33">
        <v>23.1</v>
      </c>
      <c r="G81" s="33">
        <v>6.2099999999999991</v>
      </c>
      <c r="H81" s="33">
        <v>120</v>
      </c>
    </row>
    <row r="82" spans="1:8" ht="15.75" customHeight="1" x14ac:dyDescent="0.5">
      <c r="A82" s="31">
        <v>81</v>
      </c>
      <c r="B82" s="31">
        <f t="shared" si="8"/>
        <v>2</v>
      </c>
      <c r="C82" s="73">
        <f t="shared" si="9"/>
        <v>45076</v>
      </c>
      <c r="D82" s="33">
        <v>19.28</v>
      </c>
      <c r="E82" s="33">
        <v>26.7</v>
      </c>
      <c r="F82" s="33">
        <v>22.3</v>
      </c>
      <c r="G82" s="33">
        <v>12.070000000000002</v>
      </c>
      <c r="H82" s="33">
        <v>120</v>
      </c>
    </row>
    <row r="83" spans="1:8" ht="15.75" customHeight="1" x14ac:dyDescent="0.5">
      <c r="A83" s="31">
        <v>82</v>
      </c>
      <c r="B83" s="31">
        <f t="shared" si="8"/>
        <v>3</v>
      </c>
      <c r="C83" s="73">
        <f t="shared" si="9"/>
        <v>45077</v>
      </c>
      <c r="D83" s="33">
        <v>96.179999999999993</v>
      </c>
      <c r="E83" s="33">
        <v>4.0999999999999996</v>
      </c>
      <c r="F83" s="33">
        <v>36.9</v>
      </c>
      <c r="G83" s="33">
        <v>11.270000000000001</v>
      </c>
      <c r="H83" s="33">
        <v>128</v>
      </c>
    </row>
    <row r="84" spans="1:8" ht="15.75" customHeight="1" x14ac:dyDescent="0.5">
      <c r="A84" s="31">
        <v>83</v>
      </c>
      <c r="B84" s="31">
        <f t="shared" si="8"/>
        <v>4</v>
      </c>
      <c r="C84" s="73">
        <f t="shared" si="9"/>
        <v>45078</v>
      </c>
      <c r="D84" s="33">
        <v>18.059999999999999</v>
      </c>
      <c r="E84" s="33">
        <v>20.3</v>
      </c>
      <c r="F84" s="33">
        <v>32.5</v>
      </c>
      <c r="G84" s="33">
        <v>4.68</v>
      </c>
      <c r="H84" s="33">
        <v>128</v>
      </c>
    </row>
    <row r="85" spans="1:8" ht="15.75" customHeight="1" x14ac:dyDescent="0.5">
      <c r="A85" s="31">
        <v>84</v>
      </c>
      <c r="B85" s="31">
        <f t="shared" si="8"/>
        <v>5</v>
      </c>
      <c r="C85" s="73">
        <f t="shared" si="9"/>
        <v>45079</v>
      </c>
      <c r="D85" s="33">
        <v>22.68</v>
      </c>
      <c r="E85" s="33">
        <v>44.5</v>
      </c>
      <c r="F85" s="33">
        <v>35.6</v>
      </c>
      <c r="G85" s="33">
        <v>14.849999999999998</v>
      </c>
      <c r="H85" s="33">
        <v>149</v>
      </c>
    </row>
    <row r="86" spans="1:8" ht="15.75" customHeight="1" x14ac:dyDescent="0.5">
      <c r="A86" s="31">
        <v>85</v>
      </c>
      <c r="B86" s="31">
        <f t="shared" si="8"/>
        <v>6</v>
      </c>
      <c r="C86" s="73">
        <f t="shared" si="9"/>
        <v>45080</v>
      </c>
      <c r="D86" s="33">
        <v>45.7</v>
      </c>
      <c r="E86" s="33">
        <v>43</v>
      </c>
      <c r="F86" s="33">
        <v>33.799999999999997</v>
      </c>
      <c r="G86" s="33">
        <v>29.330000000000002</v>
      </c>
      <c r="H86" s="33">
        <v>223</v>
      </c>
    </row>
    <row r="87" spans="1:8" ht="15.75" customHeight="1" x14ac:dyDescent="0.5">
      <c r="A87" s="31">
        <v>86</v>
      </c>
      <c r="B87" s="31">
        <f t="shared" si="8"/>
        <v>7</v>
      </c>
      <c r="C87" s="73">
        <f t="shared" si="9"/>
        <v>45081</v>
      </c>
      <c r="D87" s="33">
        <v>42.64</v>
      </c>
      <c r="E87" s="33">
        <v>18.399999999999999</v>
      </c>
      <c r="F87" s="33">
        <v>65.7</v>
      </c>
      <c r="G87" s="33">
        <v>2.2399999999999984</v>
      </c>
      <c r="H87" s="33">
        <v>159</v>
      </c>
    </row>
    <row r="88" spans="1:8" ht="15.75" customHeight="1" x14ac:dyDescent="0.5">
      <c r="A88" s="31">
        <v>87</v>
      </c>
      <c r="B88" s="31">
        <f t="shared" si="8"/>
        <v>1</v>
      </c>
      <c r="C88" s="73">
        <f t="shared" si="9"/>
        <v>45082</v>
      </c>
      <c r="D88" s="33">
        <v>21.259999999999998</v>
      </c>
      <c r="E88" s="33">
        <v>27.5</v>
      </c>
      <c r="F88" s="33">
        <v>16</v>
      </c>
      <c r="G88" s="33">
        <v>14.979999999999999</v>
      </c>
      <c r="H88" s="33">
        <v>122</v>
      </c>
    </row>
    <row r="89" spans="1:8" ht="15.75" customHeight="1" x14ac:dyDescent="0.5">
      <c r="A89" s="31">
        <v>88</v>
      </c>
      <c r="B89" s="31">
        <f t="shared" si="8"/>
        <v>2</v>
      </c>
      <c r="C89" s="73">
        <f t="shared" si="9"/>
        <v>45083</v>
      </c>
      <c r="D89" s="33">
        <v>28.14</v>
      </c>
      <c r="E89" s="33">
        <v>40.6</v>
      </c>
      <c r="F89" s="33">
        <v>63.2</v>
      </c>
      <c r="G89" s="33">
        <v>6.09</v>
      </c>
      <c r="H89" s="33">
        <v>180</v>
      </c>
    </row>
    <row r="90" spans="1:8" ht="15.75" customHeight="1" x14ac:dyDescent="0.5">
      <c r="A90" s="31">
        <v>89</v>
      </c>
      <c r="B90" s="31">
        <f t="shared" si="8"/>
        <v>3</v>
      </c>
      <c r="C90" s="73">
        <f t="shared" si="9"/>
        <v>45084</v>
      </c>
      <c r="D90" s="33">
        <v>27.66</v>
      </c>
      <c r="E90" s="33">
        <v>76.949999999999989</v>
      </c>
      <c r="F90" s="33">
        <v>73.400000000000006</v>
      </c>
      <c r="G90" s="33">
        <v>12.219999999999995</v>
      </c>
      <c r="H90" s="33">
        <v>147</v>
      </c>
    </row>
    <row r="91" spans="1:8" ht="15.75" customHeight="1" x14ac:dyDescent="0.5">
      <c r="A91" s="31">
        <v>90</v>
      </c>
      <c r="B91" s="31">
        <f t="shared" si="8"/>
        <v>4</v>
      </c>
      <c r="C91" s="73">
        <f t="shared" si="9"/>
        <v>45085</v>
      </c>
      <c r="D91" s="33">
        <v>23.96</v>
      </c>
      <c r="E91" s="33">
        <v>47.8</v>
      </c>
      <c r="F91" s="33">
        <v>51.4</v>
      </c>
      <c r="G91" s="33">
        <v>14.319999999999993</v>
      </c>
      <c r="H91" s="33">
        <v>177</v>
      </c>
    </row>
    <row r="92" spans="1:8" ht="15.75" customHeight="1" x14ac:dyDescent="0.5">
      <c r="A92" s="31">
        <v>91</v>
      </c>
      <c r="B92" s="31">
        <f t="shared" si="8"/>
        <v>5</v>
      </c>
      <c r="C92" s="73">
        <f t="shared" si="9"/>
        <v>45086</v>
      </c>
      <c r="D92" s="33">
        <v>31.860000000000003</v>
      </c>
      <c r="E92" s="33">
        <v>4.9000000000000004</v>
      </c>
      <c r="F92" s="33">
        <v>9.3000000000000007</v>
      </c>
      <c r="G92" s="33">
        <v>12.160000000000002</v>
      </c>
      <c r="H92" s="33">
        <v>93</v>
      </c>
    </row>
    <row r="93" spans="1:8" ht="15.75" customHeight="1" x14ac:dyDescent="0.5">
      <c r="A93" s="31">
        <v>92</v>
      </c>
      <c r="B93" s="31">
        <f t="shared" si="8"/>
        <v>6</v>
      </c>
      <c r="C93" s="73">
        <f t="shared" si="9"/>
        <v>45087</v>
      </c>
      <c r="D93" s="33">
        <v>14.72</v>
      </c>
      <c r="E93" s="33">
        <v>1.5</v>
      </c>
      <c r="F93" s="33">
        <v>33</v>
      </c>
      <c r="G93" s="33">
        <v>10.41</v>
      </c>
      <c r="H93" s="33">
        <v>74</v>
      </c>
    </row>
    <row r="94" spans="1:8" ht="15.75" customHeight="1" x14ac:dyDescent="0.5">
      <c r="A94" s="31">
        <v>93</v>
      </c>
      <c r="B94" s="31">
        <f t="shared" si="8"/>
        <v>7</v>
      </c>
      <c r="C94" s="73">
        <f t="shared" si="9"/>
        <v>45088</v>
      </c>
      <c r="D94" s="33">
        <v>47.54</v>
      </c>
      <c r="E94" s="33">
        <v>33.5</v>
      </c>
      <c r="F94" s="33">
        <v>59</v>
      </c>
      <c r="G94" s="33">
        <v>14.919999999999995</v>
      </c>
      <c r="H94" s="33">
        <v>291.75</v>
      </c>
    </row>
    <row r="95" spans="1:8" ht="15.75" customHeight="1" x14ac:dyDescent="0.5">
      <c r="A95" s="31">
        <v>94</v>
      </c>
      <c r="B95" s="31">
        <f t="shared" si="8"/>
        <v>1</v>
      </c>
      <c r="C95" s="73">
        <f t="shared" si="9"/>
        <v>45089</v>
      </c>
      <c r="D95" s="33">
        <v>56.18</v>
      </c>
      <c r="E95" s="33">
        <v>36.5</v>
      </c>
      <c r="F95" s="33">
        <v>72.3</v>
      </c>
      <c r="G95" s="33">
        <v>14.420000000000002</v>
      </c>
      <c r="H95" s="33">
        <v>225</v>
      </c>
    </row>
    <row r="96" spans="1:8" ht="15.75" customHeight="1" x14ac:dyDescent="0.5">
      <c r="A96" s="31">
        <v>95</v>
      </c>
      <c r="B96" s="31">
        <f t="shared" si="8"/>
        <v>2</v>
      </c>
      <c r="C96" s="73">
        <f t="shared" si="9"/>
        <v>45090</v>
      </c>
      <c r="D96" s="33">
        <v>30.48</v>
      </c>
      <c r="E96" s="33">
        <v>14</v>
      </c>
      <c r="F96" s="33">
        <v>10.9</v>
      </c>
      <c r="G96" s="33">
        <v>13.380000000000003</v>
      </c>
      <c r="H96" s="33">
        <v>117</v>
      </c>
    </row>
    <row r="97" spans="1:8" ht="15.75" customHeight="1" x14ac:dyDescent="0.5">
      <c r="A97" s="31">
        <v>96</v>
      </c>
      <c r="B97" s="31">
        <f t="shared" si="8"/>
        <v>3</v>
      </c>
      <c r="C97" s="73">
        <f t="shared" si="9"/>
        <v>45091</v>
      </c>
      <c r="D97" s="33">
        <v>40.660000000000004</v>
      </c>
      <c r="E97" s="33">
        <v>31.6</v>
      </c>
      <c r="F97" s="33">
        <v>52.9</v>
      </c>
      <c r="G97" s="33">
        <v>10.970000000000002</v>
      </c>
      <c r="H97" s="33">
        <v>175</v>
      </c>
    </row>
    <row r="98" spans="1:8" ht="15.75" customHeight="1" x14ac:dyDescent="0.5">
      <c r="A98" s="31">
        <v>97</v>
      </c>
      <c r="B98" s="31">
        <f t="shared" ref="B98:B129" si="10">WEEKDAY(C98,2)</f>
        <v>4</v>
      </c>
      <c r="C98" s="73">
        <f t="shared" ref="C98:C129" si="11">+C99-1</f>
        <v>45092</v>
      </c>
      <c r="D98" s="33">
        <v>46.519999999999996</v>
      </c>
      <c r="E98" s="33">
        <v>3.5</v>
      </c>
      <c r="F98" s="33">
        <v>5.9</v>
      </c>
      <c r="G98" s="33">
        <v>19.149999999999999</v>
      </c>
      <c r="H98" s="33">
        <v>132</v>
      </c>
    </row>
    <row r="99" spans="1:8" ht="15.75" customHeight="1" x14ac:dyDescent="0.5">
      <c r="A99" s="31">
        <v>98</v>
      </c>
      <c r="B99" s="31">
        <f t="shared" si="10"/>
        <v>5</v>
      </c>
      <c r="C99" s="73">
        <f t="shared" si="11"/>
        <v>45093</v>
      </c>
      <c r="D99" s="33">
        <v>41.980000000000004</v>
      </c>
      <c r="E99" s="33">
        <v>21</v>
      </c>
      <c r="F99" s="33">
        <v>22</v>
      </c>
      <c r="G99" s="33">
        <v>20.190000000000001</v>
      </c>
      <c r="H99" s="33">
        <v>168</v>
      </c>
    </row>
    <row r="100" spans="1:8" ht="15.75" customHeight="1" x14ac:dyDescent="0.5">
      <c r="A100" s="31">
        <v>99</v>
      </c>
      <c r="B100" s="31">
        <f t="shared" si="10"/>
        <v>6</v>
      </c>
      <c r="C100" s="73">
        <f t="shared" si="11"/>
        <v>45094</v>
      </c>
      <c r="D100" s="33">
        <v>64.94</v>
      </c>
      <c r="E100" s="33">
        <v>42.3</v>
      </c>
      <c r="F100" s="33">
        <v>51.2</v>
      </c>
      <c r="G100" s="33">
        <v>29.639999999999993</v>
      </c>
      <c r="H100" s="33">
        <v>257</v>
      </c>
    </row>
    <row r="101" spans="1:8" ht="15.75" customHeight="1" x14ac:dyDescent="0.5">
      <c r="A101" s="31">
        <v>100</v>
      </c>
      <c r="B101" s="31">
        <f t="shared" si="10"/>
        <v>7</v>
      </c>
      <c r="C101" s="73">
        <f t="shared" si="11"/>
        <v>45095</v>
      </c>
      <c r="D101" s="33">
        <v>28.04</v>
      </c>
      <c r="E101" s="33">
        <v>41.7</v>
      </c>
      <c r="F101" s="33">
        <v>45.9</v>
      </c>
      <c r="G101" s="33">
        <v>16.010000000000005</v>
      </c>
      <c r="H101" s="33">
        <v>183</v>
      </c>
    </row>
    <row r="102" spans="1:8" ht="15.75" customHeight="1" x14ac:dyDescent="0.5">
      <c r="A102" s="31">
        <v>101</v>
      </c>
      <c r="B102" s="31">
        <f t="shared" si="10"/>
        <v>1</v>
      </c>
      <c r="C102" s="73">
        <f t="shared" si="11"/>
        <v>45096</v>
      </c>
      <c r="D102" s="33">
        <v>51.480000000000004</v>
      </c>
      <c r="E102" s="33">
        <v>4.3</v>
      </c>
      <c r="F102" s="33">
        <v>49.8</v>
      </c>
      <c r="G102" s="33">
        <v>4.4699999999999989</v>
      </c>
      <c r="H102" s="33">
        <v>137</v>
      </c>
    </row>
    <row r="103" spans="1:8" ht="15.75" customHeight="1" x14ac:dyDescent="0.5">
      <c r="A103" s="31">
        <v>102</v>
      </c>
      <c r="B103" s="31">
        <f t="shared" si="10"/>
        <v>2</v>
      </c>
      <c r="C103" s="73">
        <f t="shared" si="11"/>
        <v>45097</v>
      </c>
      <c r="D103" s="33">
        <v>63.279999999999994</v>
      </c>
      <c r="E103" s="33">
        <v>36.299999999999997</v>
      </c>
      <c r="F103" s="33">
        <v>93.625</v>
      </c>
      <c r="G103" s="33">
        <v>10.339999999999989</v>
      </c>
      <c r="H103" s="33">
        <v>254</v>
      </c>
    </row>
    <row r="104" spans="1:8" ht="15.75" customHeight="1" x14ac:dyDescent="0.5">
      <c r="A104" s="31">
        <v>103</v>
      </c>
      <c r="B104" s="31">
        <f t="shared" si="10"/>
        <v>3</v>
      </c>
      <c r="C104" s="73">
        <f t="shared" si="11"/>
        <v>45098</v>
      </c>
      <c r="D104" s="33">
        <v>64.039999999999992</v>
      </c>
      <c r="E104" s="33">
        <v>10.1</v>
      </c>
      <c r="F104" s="33">
        <v>21.4</v>
      </c>
      <c r="G104" s="33">
        <v>24.509999999999998</v>
      </c>
      <c r="H104" s="33">
        <v>158</v>
      </c>
    </row>
    <row r="105" spans="1:8" ht="15.75" customHeight="1" x14ac:dyDescent="0.5">
      <c r="A105" s="31">
        <v>104</v>
      </c>
      <c r="B105" s="31">
        <f t="shared" si="10"/>
        <v>4</v>
      </c>
      <c r="C105" s="73">
        <f t="shared" si="11"/>
        <v>45099</v>
      </c>
      <c r="D105" s="33">
        <v>38.58</v>
      </c>
      <c r="E105" s="33">
        <v>17.2</v>
      </c>
      <c r="F105" s="33">
        <v>17.899999999999999</v>
      </c>
      <c r="G105" s="33">
        <v>20.23</v>
      </c>
      <c r="H105" s="33">
        <v>163</v>
      </c>
    </row>
    <row r="106" spans="1:8" ht="15.75" customHeight="1" x14ac:dyDescent="0.5">
      <c r="A106" s="31">
        <v>105</v>
      </c>
      <c r="B106" s="31">
        <f t="shared" si="10"/>
        <v>5</v>
      </c>
      <c r="C106" s="73">
        <f t="shared" si="11"/>
        <v>45100</v>
      </c>
      <c r="D106" s="33">
        <v>54.64</v>
      </c>
      <c r="E106" s="33">
        <v>34.299999999999997</v>
      </c>
      <c r="F106" s="33">
        <v>5.3</v>
      </c>
      <c r="G106" s="33">
        <v>38.85</v>
      </c>
      <c r="H106" s="33">
        <v>208</v>
      </c>
    </row>
    <row r="107" spans="1:8" ht="15.75" customHeight="1" x14ac:dyDescent="0.5">
      <c r="A107" s="31">
        <v>106</v>
      </c>
      <c r="B107" s="31">
        <f t="shared" si="10"/>
        <v>6</v>
      </c>
      <c r="C107" s="73">
        <f t="shared" si="11"/>
        <v>45101</v>
      </c>
      <c r="D107" s="33">
        <v>37.58</v>
      </c>
      <c r="E107" s="33">
        <v>46.4</v>
      </c>
      <c r="F107" s="33">
        <v>59</v>
      </c>
      <c r="G107" s="33">
        <v>13.39</v>
      </c>
      <c r="H107" s="33">
        <v>196</v>
      </c>
    </row>
    <row r="108" spans="1:8" ht="15.75" customHeight="1" x14ac:dyDescent="0.5">
      <c r="A108" s="31">
        <v>107</v>
      </c>
      <c r="B108" s="31">
        <f t="shared" si="10"/>
        <v>7</v>
      </c>
      <c r="C108" s="73">
        <f t="shared" si="11"/>
        <v>45102</v>
      </c>
      <c r="D108" s="33">
        <v>8</v>
      </c>
      <c r="E108" s="33">
        <v>11</v>
      </c>
      <c r="F108" s="33">
        <v>29.7</v>
      </c>
      <c r="G108" s="33">
        <v>16.119999999999997</v>
      </c>
      <c r="H108" s="33">
        <v>86</v>
      </c>
    </row>
    <row r="109" spans="1:8" ht="15.75" customHeight="1" x14ac:dyDescent="0.5">
      <c r="A109" s="31">
        <v>108</v>
      </c>
      <c r="B109" s="31">
        <f t="shared" si="10"/>
        <v>1</v>
      </c>
      <c r="C109" s="73">
        <f t="shared" si="11"/>
        <v>45103</v>
      </c>
      <c r="D109" s="33">
        <v>27.080000000000002</v>
      </c>
      <c r="E109" s="33">
        <v>0.3</v>
      </c>
      <c r="F109" s="33">
        <v>23.2</v>
      </c>
      <c r="G109" s="33">
        <v>19.910000000000004</v>
      </c>
      <c r="H109" s="33">
        <v>104</v>
      </c>
    </row>
    <row r="110" spans="1:8" ht="15.75" customHeight="1" x14ac:dyDescent="0.5">
      <c r="A110" s="31">
        <v>109</v>
      </c>
      <c r="B110" s="31">
        <f t="shared" si="10"/>
        <v>2</v>
      </c>
      <c r="C110" s="73">
        <f t="shared" si="11"/>
        <v>45104</v>
      </c>
      <c r="D110" s="33">
        <v>9.620000000000001</v>
      </c>
      <c r="E110" s="33">
        <v>0.4</v>
      </c>
      <c r="F110" s="33">
        <v>25.6</v>
      </c>
      <c r="G110" s="33">
        <v>11.269999999999998</v>
      </c>
      <c r="H110" s="33">
        <v>54</v>
      </c>
    </row>
    <row r="111" spans="1:8" ht="15.75" customHeight="1" x14ac:dyDescent="0.5">
      <c r="A111" s="31">
        <v>110</v>
      </c>
      <c r="B111" s="31">
        <f t="shared" si="10"/>
        <v>3</v>
      </c>
      <c r="C111" s="73">
        <f t="shared" si="11"/>
        <v>45105</v>
      </c>
      <c r="D111" s="33">
        <v>53.08</v>
      </c>
      <c r="E111" s="33">
        <v>26.9</v>
      </c>
      <c r="F111" s="33">
        <v>5.5</v>
      </c>
      <c r="G111" s="33">
        <v>36.789999999999992</v>
      </c>
      <c r="H111" s="33">
        <v>140.72222222222223</v>
      </c>
    </row>
    <row r="112" spans="1:8" ht="15.75" customHeight="1" x14ac:dyDescent="0.5">
      <c r="A112" s="31">
        <v>111</v>
      </c>
      <c r="B112" s="31">
        <f t="shared" si="10"/>
        <v>4</v>
      </c>
      <c r="C112" s="73">
        <f t="shared" si="11"/>
        <v>45106</v>
      </c>
      <c r="D112" s="33">
        <v>54.160000000000004</v>
      </c>
      <c r="E112" s="33">
        <v>8.1999999999999993</v>
      </c>
      <c r="F112" s="33">
        <v>56.5</v>
      </c>
      <c r="G112" s="33">
        <v>4.0799999999999983</v>
      </c>
      <c r="H112" s="33">
        <v>150</v>
      </c>
    </row>
    <row r="113" spans="1:8" ht="15.75" customHeight="1" x14ac:dyDescent="0.5">
      <c r="A113" s="31">
        <v>112</v>
      </c>
      <c r="B113" s="31">
        <f t="shared" si="10"/>
        <v>5</v>
      </c>
      <c r="C113" s="73">
        <f t="shared" si="11"/>
        <v>45107</v>
      </c>
      <c r="D113" s="33">
        <v>55.339999999999996</v>
      </c>
      <c r="E113" s="33">
        <v>38</v>
      </c>
      <c r="F113" s="33">
        <v>23.2</v>
      </c>
      <c r="G113" s="33">
        <v>33.89</v>
      </c>
      <c r="H113" s="33">
        <v>221</v>
      </c>
    </row>
    <row r="114" spans="1:8" ht="15.75" customHeight="1" x14ac:dyDescent="0.5">
      <c r="A114" s="31">
        <v>113</v>
      </c>
      <c r="B114" s="31">
        <f t="shared" si="10"/>
        <v>6</v>
      </c>
      <c r="C114" s="73">
        <f t="shared" si="11"/>
        <v>45108</v>
      </c>
      <c r="D114" s="33">
        <v>39.14</v>
      </c>
      <c r="E114" s="33">
        <v>15.4</v>
      </c>
      <c r="F114" s="33">
        <v>2.4</v>
      </c>
      <c r="G114" s="33">
        <v>24.31</v>
      </c>
      <c r="H114" s="33">
        <v>159</v>
      </c>
    </row>
    <row r="115" spans="1:8" ht="15.75" customHeight="1" x14ac:dyDescent="0.5">
      <c r="A115" s="31">
        <v>114</v>
      </c>
      <c r="B115" s="31">
        <f t="shared" si="10"/>
        <v>7</v>
      </c>
      <c r="C115" s="73">
        <f t="shared" si="11"/>
        <v>45109</v>
      </c>
      <c r="D115" s="33">
        <v>44.92</v>
      </c>
      <c r="E115" s="33">
        <v>20.6</v>
      </c>
      <c r="F115" s="33">
        <v>10.7</v>
      </c>
      <c r="G115" s="33">
        <v>26.98</v>
      </c>
      <c r="H115" s="33">
        <v>167</v>
      </c>
    </row>
    <row r="116" spans="1:8" ht="15.75" customHeight="1" x14ac:dyDescent="0.5">
      <c r="A116" s="31">
        <v>115</v>
      </c>
      <c r="B116" s="31">
        <f t="shared" si="10"/>
        <v>1</v>
      </c>
      <c r="C116" s="73">
        <f t="shared" si="11"/>
        <v>45110</v>
      </c>
      <c r="D116" s="33">
        <v>18.64</v>
      </c>
      <c r="E116" s="33">
        <v>46.8</v>
      </c>
      <c r="F116" s="33">
        <v>34.5</v>
      </c>
      <c r="G116" s="33">
        <v>17.419999999999998</v>
      </c>
      <c r="H116" s="33">
        <v>152</v>
      </c>
    </row>
    <row r="117" spans="1:8" ht="15.75" customHeight="1" x14ac:dyDescent="0.5">
      <c r="A117" s="31">
        <v>116</v>
      </c>
      <c r="B117" s="31">
        <f t="shared" si="10"/>
        <v>2</v>
      </c>
      <c r="C117" s="73">
        <f t="shared" si="11"/>
        <v>45111</v>
      </c>
      <c r="D117" s="33">
        <v>24.02</v>
      </c>
      <c r="E117" s="33">
        <v>35</v>
      </c>
      <c r="F117" s="33">
        <v>52.7</v>
      </c>
      <c r="G117" s="33">
        <v>3.9299999999999962</v>
      </c>
      <c r="H117" s="33">
        <v>133</v>
      </c>
    </row>
    <row r="118" spans="1:8" ht="15.75" customHeight="1" x14ac:dyDescent="0.5">
      <c r="A118" s="31">
        <v>117</v>
      </c>
      <c r="B118" s="31">
        <f t="shared" si="10"/>
        <v>3</v>
      </c>
      <c r="C118" s="73">
        <f t="shared" si="11"/>
        <v>45112</v>
      </c>
      <c r="D118" s="33">
        <v>37.839999999999996</v>
      </c>
      <c r="E118" s="33">
        <v>14.3</v>
      </c>
      <c r="F118" s="33">
        <v>25.6</v>
      </c>
      <c r="G118" s="33">
        <v>10.829999999999998</v>
      </c>
      <c r="H118" s="33">
        <v>129</v>
      </c>
    </row>
    <row r="119" spans="1:8" ht="15.75" customHeight="1" x14ac:dyDescent="0.5">
      <c r="A119" s="31">
        <v>118</v>
      </c>
      <c r="B119" s="31">
        <f t="shared" si="10"/>
        <v>4</v>
      </c>
      <c r="C119" s="73">
        <f t="shared" si="11"/>
        <v>45113</v>
      </c>
      <c r="D119" s="33">
        <v>25.28</v>
      </c>
      <c r="E119" s="33">
        <v>0.8</v>
      </c>
      <c r="F119" s="33">
        <v>14.8</v>
      </c>
      <c r="G119" s="33">
        <v>2.12</v>
      </c>
      <c r="H119" s="33">
        <v>108</v>
      </c>
    </row>
    <row r="120" spans="1:8" ht="15.75" customHeight="1" x14ac:dyDescent="0.5">
      <c r="A120" s="31">
        <v>119</v>
      </c>
      <c r="B120" s="31">
        <f t="shared" si="10"/>
        <v>5</v>
      </c>
      <c r="C120" s="73">
        <f t="shared" si="11"/>
        <v>45114</v>
      </c>
      <c r="D120" s="33">
        <v>29.14</v>
      </c>
      <c r="E120" s="33">
        <v>36.9</v>
      </c>
      <c r="F120" s="33">
        <v>79.2</v>
      </c>
      <c r="G120" s="33">
        <v>19.339999999999996</v>
      </c>
      <c r="H120" s="33">
        <v>172</v>
      </c>
    </row>
    <row r="121" spans="1:8" ht="15.75" customHeight="1" x14ac:dyDescent="0.5">
      <c r="A121" s="31">
        <v>120</v>
      </c>
      <c r="B121" s="31">
        <f t="shared" si="10"/>
        <v>6</v>
      </c>
      <c r="C121" s="73">
        <f t="shared" si="11"/>
        <v>45115</v>
      </c>
      <c r="D121" s="33">
        <v>9.879999999999999</v>
      </c>
      <c r="E121" s="33">
        <v>16</v>
      </c>
      <c r="F121" s="33">
        <v>22.3</v>
      </c>
      <c r="G121" s="33">
        <v>1.0199999999999996</v>
      </c>
      <c r="H121" s="33">
        <v>77</v>
      </c>
    </row>
    <row r="122" spans="1:8" ht="15.75" customHeight="1" x14ac:dyDescent="0.5">
      <c r="A122" s="31">
        <v>121</v>
      </c>
      <c r="B122" s="31">
        <f t="shared" si="10"/>
        <v>7</v>
      </c>
      <c r="C122" s="73">
        <f t="shared" si="11"/>
        <v>45116</v>
      </c>
      <c r="D122" s="33">
        <v>36.260000000000005</v>
      </c>
      <c r="E122" s="33">
        <v>26.8</v>
      </c>
      <c r="F122" s="33">
        <v>46.2</v>
      </c>
      <c r="G122" s="33">
        <v>9.0500000000000007</v>
      </c>
      <c r="H122" s="33">
        <v>163</v>
      </c>
    </row>
    <row r="123" spans="1:8" ht="15.75" customHeight="1" x14ac:dyDescent="0.5">
      <c r="A123" s="31">
        <v>122</v>
      </c>
      <c r="B123" s="31">
        <f t="shared" si="10"/>
        <v>1</v>
      </c>
      <c r="C123" s="73">
        <f t="shared" si="11"/>
        <v>45117</v>
      </c>
      <c r="D123" s="33">
        <v>7.76</v>
      </c>
      <c r="E123" s="33">
        <v>21.7</v>
      </c>
      <c r="F123" s="33">
        <v>50.4</v>
      </c>
      <c r="G123" s="33">
        <v>12.57</v>
      </c>
      <c r="H123" s="33">
        <v>81</v>
      </c>
    </row>
    <row r="124" spans="1:8" ht="15.75" customHeight="1" x14ac:dyDescent="0.5">
      <c r="A124" s="31">
        <v>123</v>
      </c>
      <c r="B124" s="31">
        <f t="shared" si="10"/>
        <v>2</v>
      </c>
      <c r="C124" s="73">
        <f t="shared" si="11"/>
        <v>45118</v>
      </c>
      <c r="D124" s="33">
        <v>45.8</v>
      </c>
      <c r="E124" s="33">
        <v>2.4</v>
      </c>
      <c r="F124" s="33">
        <v>15.6</v>
      </c>
      <c r="G124" s="33">
        <v>17.36</v>
      </c>
      <c r="H124" s="33">
        <v>125</v>
      </c>
    </row>
    <row r="125" spans="1:8" ht="15.75" customHeight="1" x14ac:dyDescent="0.5">
      <c r="A125" s="31">
        <v>124</v>
      </c>
      <c r="B125" s="31">
        <f t="shared" si="10"/>
        <v>3</v>
      </c>
      <c r="C125" s="73">
        <f t="shared" si="11"/>
        <v>45119</v>
      </c>
      <c r="D125" s="33">
        <v>33.619999999999997</v>
      </c>
      <c r="E125" s="33">
        <v>34.6</v>
      </c>
      <c r="F125" s="33">
        <v>12.4</v>
      </c>
      <c r="G125" s="33">
        <v>24.65</v>
      </c>
      <c r="H125" s="33">
        <v>171</v>
      </c>
    </row>
    <row r="126" spans="1:8" ht="15.75" customHeight="1" x14ac:dyDescent="0.5">
      <c r="A126" s="31">
        <v>125</v>
      </c>
      <c r="B126" s="31">
        <f t="shared" si="10"/>
        <v>4</v>
      </c>
      <c r="C126" s="73">
        <f t="shared" si="11"/>
        <v>45120</v>
      </c>
      <c r="D126" s="33">
        <v>51.9</v>
      </c>
      <c r="E126" s="33">
        <v>32.299999999999997</v>
      </c>
      <c r="F126" s="33">
        <v>74.2</v>
      </c>
      <c r="G126" s="33">
        <v>9.419999999999991</v>
      </c>
      <c r="H126" s="33">
        <v>201</v>
      </c>
    </row>
    <row r="127" spans="1:8" ht="15.75" customHeight="1" x14ac:dyDescent="0.5">
      <c r="A127" s="31">
        <v>126</v>
      </c>
      <c r="B127" s="31">
        <f t="shared" si="10"/>
        <v>5</v>
      </c>
      <c r="C127" s="73">
        <f t="shared" si="11"/>
        <v>45121</v>
      </c>
      <c r="D127" s="33">
        <v>18.440000000000001</v>
      </c>
      <c r="E127" s="33">
        <v>11.8</v>
      </c>
      <c r="F127" s="33">
        <v>25.9</v>
      </c>
      <c r="G127" s="33">
        <v>4.2600000000000016</v>
      </c>
      <c r="H127" s="33">
        <v>126</v>
      </c>
    </row>
    <row r="128" spans="1:8" ht="15.75" customHeight="1" x14ac:dyDescent="0.5">
      <c r="A128" s="31">
        <v>127</v>
      </c>
      <c r="B128" s="31">
        <f t="shared" si="10"/>
        <v>6</v>
      </c>
      <c r="C128" s="73">
        <f t="shared" si="11"/>
        <v>45122</v>
      </c>
      <c r="D128" s="33">
        <v>8.56</v>
      </c>
      <c r="E128" s="33">
        <v>38.9</v>
      </c>
      <c r="F128" s="33">
        <v>50.6</v>
      </c>
      <c r="G128" s="33">
        <v>19.989999999999998</v>
      </c>
      <c r="H128" s="33">
        <v>78</v>
      </c>
    </row>
    <row r="129" spans="1:8" ht="15.75" customHeight="1" x14ac:dyDescent="0.5">
      <c r="A129" s="31">
        <v>128</v>
      </c>
      <c r="B129" s="31">
        <f t="shared" si="10"/>
        <v>7</v>
      </c>
      <c r="C129" s="73">
        <f t="shared" si="11"/>
        <v>45123</v>
      </c>
      <c r="D129" s="33">
        <v>71.06</v>
      </c>
      <c r="E129" s="33">
        <v>23.450000000000003</v>
      </c>
      <c r="F129" s="33">
        <v>9.1999999999999993</v>
      </c>
      <c r="G129" s="33">
        <v>31.35</v>
      </c>
      <c r="H129" s="33">
        <v>92</v>
      </c>
    </row>
    <row r="130" spans="1:8" ht="15.75" customHeight="1" x14ac:dyDescent="0.5">
      <c r="A130" s="31">
        <v>129</v>
      </c>
      <c r="B130" s="31">
        <f t="shared" ref="B130:B161" si="12">WEEKDAY(C130,2)</f>
        <v>1</v>
      </c>
      <c r="C130" s="73">
        <f t="shared" ref="C130:C161" si="13">+C131-1</f>
        <v>45124</v>
      </c>
      <c r="D130" s="33">
        <v>54.06</v>
      </c>
      <c r="E130" s="33">
        <v>49</v>
      </c>
      <c r="F130" s="33">
        <v>3.2</v>
      </c>
      <c r="G130" s="33">
        <v>41.756249999999994</v>
      </c>
      <c r="H130" s="33">
        <v>264</v>
      </c>
    </row>
    <row r="131" spans="1:8" ht="15.75" customHeight="1" x14ac:dyDescent="0.5">
      <c r="A131" s="31">
        <v>130</v>
      </c>
      <c r="B131" s="31">
        <f t="shared" si="12"/>
        <v>2</v>
      </c>
      <c r="C131" s="73">
        <f t="shared" si="13"/>
        <v>45125</v>
      </c>
      <c r="D131" s="33">
        <v>18.920000000000002</v>
      </c>
      <c r="E131" s="33">
        <v>12</v>
      </c>
      <c r="F131" s="33">
        <v>43.1</v>
      </c>
      <c r="G131" s="33">
        <v>14.719999999999999</v>
      </c>
      <c r="H131" s="33">
        <v>116</v>
      </c>
    </row>
    <row r="132" spans="1:8" ht="15.75" customHeight="1" x14ac:dyDescent="0.5">
      <c r="A132" s="31">
        <v>131</v>
      </c>
      <c r="B132" s="31">
        <f t="shared" si="12"/>
        <v>3</v>
      </c>
      <c r="C132" s="73">
        <f t="shared" si="13"/>
        <v>45126</v>
      </c>
      <c r="D132" s="33">
        <v>6</v>
      </c>
      <c r="E132" s="33">
        <v>39.6</v>
      </c>
      <c r="F132" s="33">
        <v>8.6999999999999993</v>
      </c>
      <c r="G132" s="33">
        <v>41.756249999999994</v>
      </c>
      <c r="H132" s="33">
        <v>28</v>
      </c>
    </row>
    <row r="133" spans="1:8" ht="15.75" customHeight="1" x14ac:dyDescent="0.5">
      <c r="A133" s="31">
        <v>132</v>
      </c>
      <c r="B133" s="31">
        <f t="shared" si="12"/>
        <v>4</v>
      </c>
      <c r="C133" s="73">
        <f t="shared" si="13"/>
        <v>45127</v>
      </c>
      <c r="D133" s="33">
        <v>55.04</v>
      </c>
      <c r="E133" s="33">
        <v>2.9</v>
      </c>
      <c r="F133" s="33">
        <v>43</v>
      </c>
      <c r="G133" s="33">
        <v>10.77</v>
      </c>
      <c r="H133" s="33">
        <v>147</v>
      </c>
    </row>
    <row r="134" spans="1:8" ht="15.75" customHeight="1" x14ac:dyDescent="0.5">
      <c r="A134" s="31">
        <v>133</v>
      </c>
      <c r="B134" s="31">
        <f t="shared" si="12"/>
        <v>5</v>
      </c>
      <c r="C134" s="73">
        <f t="shared" si="13"/>
        <v>45128</v>
      </c>
      <c r="D134" s="33">
        <v>5.68</v>
      </c>
      <c r="E134" s="33">
        <v>27.2</v>
      </c>
      <c r="F134" s="33">
        <v>2.1</v>
      </c>
      <c r="G134" s="33">
        <v>13.6</v>
      </c>
      <c r="H134" s="33">
        <v>71</v>
      </c>
    </row>
    <row r="135" spans="1:8" ht="15.75" customHeight="1" x14ac:dyDescent="0.5">
      <c r="A135" s="31">
        <v>134</v>
      </c>
      <c r="B135" s="31">
        <f t="shared" si="12"/>
        <v>6</v>
      </c>
      <c r="C135" s="73">
        <f t="shared" si="13"/>
        <v>45129</v>
      </c>
      <c r="D135" s="33">
        <v>45.96</v>
      </c>
      <c r="E135" s="33">
        <v>33.5</v>
      </c>
      <c r="F135" s="33">
        <v>45.1</v>
      </c>
      <c r="G135" s="33">
        <v>20.69</v>
      </c>
      <c r="H135" s="33">
        <v>164.45535714285714</v>
      </c>
    </row>
    <row r="136" spans="1:8" ht="15.75" customHeight="1" x14ac:dyDescent="0.5">
      <c r="A136" s="31">
        <v>135</v>
      </c>
      <c r="B136" s="31">
        <f t="shared" si="12"/>
        <v>7</v>
      </c>
      <c r="C136" s="73">
        <f t="shared" si="13"/>
        <v>45130</v>
      </c>
      <c r="D136" s="33">
        <v>14.379999999999999</v>
      </c>
      <c r="E136" s="33">
        <v>38.6</v>
      </c>
      <c r="F136" s="33">
        <v>65.599999999999994</v>
      </c>
      <c r="G136" s="33">
        <v>16.750000000000004</v>
      </c>
      <c r="H136" s="33">
        <v>124</v>
      </c>
    </row>
    <row r="137" spans="1:8" ht="15.75" customHeight="1" x14ac:dyDescent="0.5">
      <c r="A137" s="31">
        <v>136</v>
      </c>
      <c r="B137" s="31">
        <f t="shared" si="12"/>
        <v>1</v>
      </c>
      <c r="C137" s="73">
        <f t="shared" si="13"/>
        <v>45131</v>
      </c>
      <c r="D137" s="33">
        <v>14.66</v>
      </c>
      <c r="E137" s="33">
        <v>47</v>
      </c>
      <c r="F137" s="33">
        <v>8.5</v>
      </c>
      <c r="G137" s="33">
        <v>24.93</v>
      </c>
      <c r="H137" s="33">
        <v>124</v>
      </c>
    </row>
    <row r="138" spans="1:8" ht="15.75" customHeight="1" x14ac:dyDescent="0.5">
      <c r="A138" s="31">
        <v>137</v>
      </c>
      <c r="B138" s="31">
        <f t="shared" si="12"/>
        <v>2</v>
      </c>
      <c r="C138" s="73">
        <f t="shared" si="13"/>
        <v>45132</v>
      </c>
      <c r="D138" s="33">
        <v>10.120000000000001</v>
      </c>
      <c r="E138" s="33">
        <v>39</v>
      </c>
      <c r="F138" s="33">
        <v>9.3000000000000007</v>
      </c>
      <c r="G138" s="33">
        <v>18.339999999999996</v>
      </c>
      <c r="H138" s="33">
        <v>98</v>
      </c>
    </row>
    <row r="139" spans="1:8" ht="15.75" customHeight="1" x14ac:dyDescent="0.5">
      <c r="A139" s="31">
        <v>138</v>
      </c>
      <c r="B139" s="31">
        <f t="shared" si="12"/>
        <v>3</v>
      </c>
      <c r="C139" s="73">
        <f t="shared" si="13"/>
        <v>45133</v>
      </c>
      <c r="D139" s="33">
        <v>58.739999999999995</v>
      </c>
      <c r="E139" s="33">
        <v>28.9</v>
      </c>
      <c r="F139" s="33">
        <v>59.7</v>
      </c>
      <c r="G139" s="33">
        <v>17.939999999999991</v>
      </c>
      <c r="H139" s="33">
        <v>210</v>
      </c>
    </row>
    <row r="140" spans="1:8" ht="15.75" customHeight="1" x14ac:dyDescent="0.5">
      <c r="A140" s="31">
        <v>139</v>
      </c>
      <c r="B140" s="31">
        <f t="shared" si="12"/>
        <v>4</v>
      </c>
      <c r="C140" s="73">
        <f t="shared" si="13"/>
        <v>45134</v>
      </c>
      <c r="D140" s="33">
        <v>9.6</v>
      </c>
      <c r="E140" s="33">
        <v>25.9</v>
      </c>
      <c r="F140" s="33">
        <v>20.5</v>
      </c>
      <c r="G140" s="33">
        <v>9.0499999999999989</v>
      </c>
      <c r="H140" s="33">
        <v>109</v>
      </c>
    </row>
    <row r="141" spans="1:8" ht="15.75" customHeight="1" x14ac:dyDescent="0.5">
      <c r="A141" s="31">
        <v>140</v>
      </c>
      <c r="B141" s="31">
        <f t="shared" si="12"/>
        <v>5</v>
      </c>
      <c r="C141" s="73">
        <f t="shared" si="13"/>
        <v>45135</v>
      </c>
      <c r="D141" s="33">
        <v>96.179999999999993</v>
      </c>
      <c r="E141" s="33">
        <v>43.9</v>
      </c>
      <c r="F141" s="33">
        <v>1.7</v>
      </c>
      <c r="G141" s="33">
        <v>39.76</v>
      </c>
      <c r="H141" s="33">
        <v>227</v>
      </c>
    </row>
    <row r="142" spans="1:8" ht="15.75" customHeight="1" x14ac:dyDescent="0.5">
      <c r="A142" s="31">
        <v>141</v>
      </c>
      <c r="B142" s="31">
        <f t="shared" si="12"/>
        <v>6</v>
      </c>
      <c r="C142" s="73">
        <f t="shared" si="13"/>
        <v>45136</v>
      </c>
      <c r="D142" s="33">
        <v>20.910000000000004</v>
      </c>
      <c r="E142" s="33">
        <v>17</v>
      </c>
      <c r="F142" s="33">
        <v>12.9</v>
      </c>
      <c r="G142" s="33">
        <v>10.68</v>
      </c>
      <c r="H142" s="33">
        <v>113</v>
      </c>
    </row>
    <row r="143" spans="1:8" ht="15.75" customHeight="1" x14ac:dyDescent="0.5">
      <c r="A143" s="31">
        <v>142</v>
      </c>
      <c r="B143" s="31">
        <f t="shared" si="12"/>
        <v>7</v>
      </c>
      <c r="C143" s="73">
        <f t="shared" si="13"/>
        <v>45137</v>
      </c>
      <c r="D143" s="33">
        <v>49.443333333333328</v>
      </c>
      <c r="E143" s="33">
        <v>35.4</v>
      </c>
      <c r="F143" s="33">
        <v>75.599999999999994</v>
      </c>
      <c r="G143" s="33">
        <v>6.8299999999999947</v>
      </c>
      <c r="H143" s="33">
        <v>207</v>
      </c>
    </row>
    <row r="144" spans="1:8" ht="15.75" customHeight="1" x14ac:dyDescent="0.5">
      <c r="A144" s="31">
        <v>143</v>
      </c>
      <c r="B144" s="31">
        <f t="shared" si="12"/>
        <v>1</v>
      </c>
      <c r="C144" s="73">
        <f t="shared" si="13"/>
        <v>45138</v>
      </c>
      <c r="D144" s="33">
        <v>50.1</v>
      </c>
      <c r="E144" s="33">
        <v>33.200000000000003</v>
      </c>
      <c r="F144" s="33">
        <v>37.9</v>
      </c>
      <c r="G144" s="33">
        <v>23.490000000000006</v>
      </c>
      <c r="H144" s="33">
        <v>218</v>
      </c>
    </row>
    <row r="145" spans="1:8" ht="15.75" customHeight="1" x14ac:dyDescent="0.5">
      <c r="A145" s="31">
        <v>144</v>
      </c>
      <c r="B145" s="31">
        <f t="shared" si="12"/>
        <v>2</v>
      </c>
      <c r="C145" s="73">
        <f t="shared" si="13"/>
        <v>45139</v>
      </c>
      <c r="D145" s="33">
        <v>28.919999999999998</v>
      </c>
      <c r="E145" s="33">
        <v>5.7</v>
      </c>
      <c r="F145" s="33">
        <v>34.4</v>
      </c>
      <c r="G145" s="33">
        <v>19.549999999999997</v>
      </c>
      <c r="H145" s="33">
        <v>144.14285714285714</v>
      </c>
    </row>
    <row r="146" spans="1:8" ht="15.75" customHeight="1" x14ac:dyDescent="0.5">
      <c r="A146" s="31">
        <v>145</v>
      </c>
      <c r="B146" s="31">
        <f t="shared" si="12"/>
        <v>3</v>
      </c>
      <c r="C146" s="73">
        <f t="shared" si="13"/>
        <v>45140</v>
      </c>
      <c r="D146" s="33">
        <v>29.240000000000002</v>
      </c>
      <c r="E146" s="33">
        <v>14.8</v>
      </c>
      <c r="F146" s="33">
        <v>38.9</v>
      </c>
      <c r="G146" s="33">
        <v>1.4600000000000026</v>
      </c>
      <c r="H146" s="33">
        <v>127</v>
      </c>
    </row>
    <row r="147" spans="1:8" ht="15.75" customHeight="1" x14ac:dyDescent="0.5">
      <c r="A147" s="31">
        <v>146</v>
      </c>
      <c r="B147" s="31">
        <f t="shared" si="12"/>
        <v>4</v>
      </c>
      <c r="C147" s="73">
        <f t="shared" si="13"/>
        <v>45141</v>
      </c>
      <c r="D147" s="33">
        <v>31.060000000000002</v>
      </c>
      <c r="E147" s="33">
        <v>1.9</v>
      </c>
      <c r="F147" s="33">
        <v>9</v>
      </c>
      <c r="G147" s="33">
        <v>11.38</v>
      </c>
      <c r="H147" s="33">
        <v>123</v>
      </c>
    </row>
    <row r="148" spans="1:8" ht="15.75" customHeight="1" x14ac:dyDescent="0.5">
      <c r="A148" s="31">
        <v>147</v>
      </c>
      <c r="B148" s="31">
        <f t="shared" si="12"/>
        <v>5</v>
      </c>
      <c r="C148" s="73">
        <f t="shared" si="13"/>
        <v>45142</v>
      </c>
      <c r="D148" s="33">
        <v>55.019999999999996</v>
      </c>
      <c r="E148" s="33">
        <v>7.3</v>
      </c>
      <c r="F148" s="33">
        <v>8.6999999999999993</v>
      </c>
      <c r="G148" s="33">
        <v>24.179999999999996</v>
      </c>
      <c r="H148" s="33">
        <v>142</v>
      </c>
    </row>
    <row r="149" spans="1:8" ht="15.75" customHeight="1" x14ac:dyDescent="0.5">
      <c r="A149" s="31">
        <v>148</v>
      </c>
      <c r="B149" s="31">
        <f t="shared" si="12"/>
        <v>6</v>
      </c>
      <c r="C149" s="73">
        <f t="shared" si="13"/>
        <v>45143</v>
      </c>
      <c r="D149" s="33">
        <v>50.64</v>
      </c>
      <c r="E149" s="33">
        <v>49</v>
      </c>
      <c r="F149" s="33">
        <v>44.3</v>
      </c>
      <c r="G149" s="33">
        <v>31.1</v>
      </c>
      <c r="H149" s="33">
        <v>265</v>
      </c>
    </row>
    <row r="150" spans="1:8" ht="15.75" customHeight="1" x14ac:dyDescent="0.5">
      <c r="A150" s="31">
        <v>149</v>
      </c>
      <c r="B150" s="31">
        <f t="shared" si="12"/>
        <v>7</v>
      </c>
      <c r="C150" s="73">
        <f t="shared" si="13"/>
        <v>45144</v>
      </c>
      <c r="D150" s="33">
        <v>15.6</v>
      </c>
      <c r="E150" s="33">
        <v>40.299999999999997</v>
      </c>
      <c r="F150" s="33">
        <v>11.9</v>
      </c>
      <c r="G150" s="33">
        <v>19.189999999999998</v>
      </c>
      <c r="H150" s="33">
        <v>110</v>
      </c>
    </row>
    <row r="151" spans="1:8" ht="15.75" customHeight="1" x14ac:dyDescent="0.5">
      <c r="A151" s="31">
        <v>150</v>
      </c>
      <c r="B151" s="31">
        <f t="shared" si="12"/>
        <v>1</v>
      </c>
      <c r="C151" s="73">
        <f t="shared" si="13"/>
        <v>45145</v>
      </c>
      <c r="D151" s="33">
        <v>96.179999999999993</v>
      </c>
      <c r="E151" s="33">
        <v>25.8</v>
      </c>
      <c r="F151" s="33">
        <v>20.6</v>
      </c>
      <c r="G151" s="33">
        <v>9.1300000000000008</v>
      </c>
      <c r="H151" s="33">
        <v>118</v>
      </c>
    </row>
    <row r="152" spans="1:8" ht="15.75" customHeight="1" x14ac:dyDescent="0.5">
      <c r="A152" s="31">
        <v>151</v>
      </c>
      <c r="B152" s="31">
        <f t="shared" si="12"/>
        <v>2</v>
      </c>
      <c r="C152" s="73">
        <f t="shared" si="13"/>
        <v>45146</v>
      </c>
      <c r="D152" s="33">
        <v>66.14</v>
      </c>
      <c r="E152" s="33">
        <v>13.9</v>
      </c>
      <c r="F152" s="33">
        <v>37</v>
      </c>
      <c r="G152" s="33">
        <v>20.220000000000002</v>
      </c>
      <c r="H152" s="33">
        <v>166</v>
      </c>
    </row>
    <row r="153" spans="1:8" ht="15.75" customHeight="1" x14ac:dyDescent="0.5">
      <c r="A153" s="31">
        <v>152</v>
      </c>
      <c r="B153" s="31">
        <f t="shared" si="12"/>
        <v>3</v>
      </c>
      <c r="C153" s="73">
        <f t="shared" si="13"/>
        <v>45147</v>
      </c>
      <c r="D153" s="33">
        <v>31.2</v>
      </c>
      <c r="E153" s="33">
        <v>8.4</v>
      </c>
      <c r="F153" s="33">
        <v>48.7</v>
      </c>
      <c r="G153" s="33">
        <v>16.819999999999997</v>
      </c>
      <c r="H153" s="33">
        <v>125</v>
      </c>
    </row>
    <row r="154" spans="1:8" ht="15.75" customHeight="1" x14ac:dyDescent="0.5">
      <c r="A154" s="31">
        <v>153</v>
      </c>
      <c r="B154" s="31">
        <f t="shared" si="12"/>
        <v>4</v>
      </c>
      <c r="C154" s="73">
        <f t="shared" si="13"/>
        <v>45148</v>
      </c>
      <c r="D154" s="33">
        <v>40.519999999999996</v>
      </c>
      <c r="E154" s="33">
        <v>23.3</v>
      </c>
      <c r="F154" s="33">
        <v>14.2</v>
      </c>
      <c r="G154" s="33">
        <v>25.729999999999997</v>
      </c>
      <c r="H154" s="33">
        <v>169</v>
      </c>
    </row>
    <row r="155" spans="1:8" ht="15.75" customHeight="1" x14ac:dyDescent="0.5">
      <c r="A155" s="31">
        <v>154</v>
      </c>
      <c r="B155" s="31">
        <f t="shared" si="12"/>
        <v>5</v>
      </c>
      <c r="C155" s="73">
        <f t="shared" si="13"/>
        <v>45149</v>
      </c>
      <c r="D155" s="33">
        <v>37.260000000000005</v>
      </c>
      <c r="E155" s="33">
        <v>39.700000000000003</v>
      </c>
      <c r="F155" s="33">
        <v>37.700000000000003</v>
      </c>
      <c r="G155" s="33">
        <v>21.900000000000002</v>
      </c>
      <c r="H155" s="33">
        <v>208</v>
      </c>
    </row>
    <row r="156" spans="1:8" ht="15.75" customHeight="1" x14ac:dyDescent="0.5">
      <c r="A156" s="31">
        <v>155</v>
      </c>
      <c r="B156" s="31">
        <f t="shared" si="12"/>
        <v>6</v>
      </c>
      <c r="C156" s="73">
        <f t="shared" si="13"/>
        <v>45150</v>
      </c>
      <c r="D156" s="33">
        <v>43.56</v>
      </c>
      <c r="E156" s="33">
        <v>21.1</v>
      </c>
      <c r="F156" s="33">
        <v>9.5</v>
      </c>
      <c r="G156" s="33">
        <v>25.53</v>
      </c>
      <c r="H156" s="33">
        <v>166</v>
      </c>
    </row>
    <row r="157" spans="1:8" ht="15.75" customHeight="1" x14ac:dyDescent="0.5">
      <c r="A157" s="31">
        <v>156</v>
      </c>
      <c r="B157" s="31">
        <f t="shared" si="12"/>
        <v>7</v>
      </c>
      <c r="C157" s="73">
        <f t="shared" si="13"/>
        <v>45151</v>
      </c>
      <c r="D157" s="33">
        <v>9.82</v>
      </c>
      <c r="E157" s="33">
        <v>11.6</v>
      </c>
      <c r="F157" s="33">
        <v>5.7</v>
      </c>
      <c r="G157" s="33">
        <v>41.756249999999994</v>
      </c>
      <c r="H157" s="33">
        <v>35</v>
      </c>
    </row>
    <row r="158" spans="1:8" ht="15.75" customHeight="1" x14ac:dyDescent="0.5">
      <c r="A158" s="31">
        <v>157</v>
      </c>
      <c r="B158" s="31">
        <f t="shared" si="12"/>
        <v>1</v>
      </c>
      <c r="C158" s="73">
        <f t="shared" si="13"/>
        <v>45152</v>
      </c>
      <c r="D158" s="33">
        <v>25.78</v>
      </c>
      <c r="E158" s="33">
        <v>43.5</v>
      </c>
      <c r="F158" s="33">
        <v>50.5</v>
      </c>
      <c r="G158" s="33">
        <v>10.939999999999998</v>
      </c>
      <c r="H158" s="33">
        <v>173</v>
      </c>
    </row>
    <row r="159" spans="1:8" ht="15.75" customHeight="1" x14ac:dyDescent="0.5">
      <c r="A159" s="31">
        <v>158</v>
      </c>
      <c r="B159" s="31">
        <f t="shared" si="12"/>
        <v>2</v>
      </c>
      <c r="C159" s="73">
        <f t="shared" si="13"/>
        <v>45153</v>
      </c>
      <c r="D159" s="33">
        <v>39.96</v>
      </c>
      <c r="E159" s="33">
        <v>1.3</v>
      </c>
      <c r="F159" s="33">
        <v>24.3</v>
      </c>
      <c r="G159" s="33">
        <v>5.91</v>
      </c>
      <c r="H159" s="33">
        <v>111</v>
      </c>
    </row>
    <row r="160" spans="1:8" ht="15.75" customHeight="1" x14ac:dyDescent="0.5">
      <c r="A160" s="31">
        <v>159</v>
      </c>
      <c r="B160" s="31">
        <f t="shared" si="12"/>
        <v>3</v>
      </c>
      <c r="C160" s="73">
        <f t="shared" si="13"/>
        <v>45154</v>
      </c>
      <c r="D160" s="33">
        <v>12.34</v>
      </c>
      <c r="E160" s="33">
        <v>36.9</v>
      </c>
      <c r="F160" s="33">
        <v>45.2</v>
      </c>
      <c r="G160" s="33">
        <v>1.5399999999999956</v>
      </c>
      <c r="H160" s="33">
        <v>85</v>
      </c>
    </row>
    <row r="161" spans="1:8" ht="15.75" customHeight="1" x14ac:dyDescent="0.5">
      <c r="A161" s="31">
        <v>160</v>
      </c>
      <c r="B161" s="31">
        <f t="shared" si="12"/>
        <v>4</v>
      </c>
      <c r="C161" s="73">
        <f t="shared" si="13"/>
        <v>45155</v>
      </c>
      <c r="D161" s="33">
        <v>32.339999999999996</v>
      </c>
      <c r="E161" s="33">
        <v>18.399999999999999</v>
      </c>
      <c r="F161" s="33">
        <v>34.6</v>
      </c>
      <c r="G161" s="33">
        <v>8.5299999999999958</v>
      </c>
      <c r="H161" s="33">
        <v>138</v>
      </c>
    </row>
    <row r="162" spans="1:8" ht="15.75" customHeight="1" x14ac:dyDescent="0.5">
      <c r="A162" s="31">
        <v>161</v>
      </c>
      <c r="B162" s="31">
        <f t="shared" ref="B162:B193" si="14">WEEKDAY(C162,2)</f>
        <v>5</v>
      </c>
      <c r="C162" s="73">
        <f t="shared" ref="C162:C193" si="15">+C163-1</f>
        <v>45156</v>
      </c>
      <c r="D162" s="33">
        <v>44.5</v>
      </c>
      <c r="E162" s="33">
        <v>18.100000000000001</v>
      </c>
      <c r="F162" s="33">
        <v>30.7</v>
      </c>
      <c r="G162" s="33">
        <v>14.02</v>
      </c>
      <c r="H162" s="33">
        <v>159</v>
      </c>
    </row>
    <row r="163" spans="1:8" ht="15.75" customHeight="1" x14ac:dyDescent="0.5">
      <c r="A163" s="31">
        <v>162</v>
      </c>
      <c r="B163" s="31">
        <f t="shared" si="14"/>
        <v>6</v>
      </c>
      <c r="C163" s="73">
        <f t="shared" si="15"/>
        <v>45157</v>
      </c>
      <c r="D163" s="33">
        <v>19.14</v>
      </c>
      <c r="E163" s="33">
        <v>35.799999999999997</v>
      </c>
      <c r="F163" s="33">
        <v>49.3</v>
      </c>
      <c r="G163" s="33">
        <v>6.75</v>
      </c>
      <c r="H163" s="33">
        <v>151</v>
      </c>
    </row>
    <row r="164" spans="1:8" ht="15.75" customHeight="1" x14ac:dyDescent="0.5">
      <c r="A164" s="31">
        <v>163</v>
      </c>
      <c r="B164" s="31">
        <f t="shared" si="14"/>
        <v>7</v>
      </c>
      <c r="C164" s="73">
        <f t="shared" si="15"/>
        <v>45158</v>
      </c>
      <c r="D164" s="33">
        <v>42.68</v>
      </c>
      <c r="E164" s="33">
        <v>23.450000000000003</v>
      </c>
      <c r="F164" s="33">
        <v>25.9</v>
      </c>
      <c r="G164" s="33">
        <v>17.649999999999999</v>
      </c>
      <c r="H164" s="33">
        <v>168</v>
      </c>
    </row>
    <row r="165" spans="1:8" ht="15.75" customHeight="1" x14ac:dyDescent="0.5">
      <c r="A165" s="31">
        <v>164</v>
      </c>
      <c r="B165" s="31">
        <f t="shared" si="14"/>
        <v>1</v>
      </c>
      <c r="C165" s="73">
        <f t="shared" si="15"/>
        <v>45159</v>
      </c>
      <c r="D165" s="33">
        <v>33.700000000000003</v>
      </c>
      <c r="E165" s="33">
        <v>36.799999999999997</v>
      </c>
      <c r="F165" s="33">
        <v>7.4</v>
      </c>
      <c r="G165" s="33">
        <v>31.79</v>
      </c>
      <c r="H165" s="33">
        <v>193</v>
      </c>
    </row>
    <row r="166" spans="1:8" ht="15.75" customHeight="1" x14ac:dyDescent="0.5">
      <c r="A166" s="31">
        <v>165</v>
      </c>
      <c r="B166" s="31">
        <f t="shared" si="14"/>
        <v>2</v>
      </c>
      <c r="C166" s="73">
        <f t="shared" si="15"/>
        <v>45160</v>
      </c>
      <c r="D166" s="33">
        <v>28.44</v>
      </c>
      <c r="E166" s="33">
        <v>14.7</v>
      </c>
      <c r="F166" s="33">
        <v>5.4</v>
      </c>
      <c r="G166" s="33">
        <v>16.91</v>
      </c>
      <c r="H166" s="33">
        <v>132</v>
      </c>
    </row>
    <row r="167" spans="1:8" ht="15.75" customHeight="1" x14ac:dyDescent="0.5">
      <c r="A167" s="31">
        <v>166</v>
      </c>
      <c r="B167" s="31">
        <f t="shared" si="14"/>
        <v>3</v>
      </c>
      <c r="C167" s="73">
        <f t="shared" si="15"/>
        <v>45161</v>
      </c>
      <c r="D167" s="33">
        <v>56.9</v>
      </c>
      <c r="E167" s="33">
        <v>3.4</v>
      </c>
      <c r="F167" s="33">
        <v>84.8</v>
      </c>
      <c r="G167" s="33">
        <v>11.229999999999997</v>
      </c>
      <c r="H167" s="33">
        <v>131</v>
      </c>
    </row>
    <row r="168" spans="1:8" ht="15.75" customHeight="1" x14ac:dyDescent="0.5">
      <c r="A168" s="31">
        <v>167</v>
      </c>
      <c r="B168" s="31">
        <f t="shared" si="14"/>
        <v>4</v>
      </c>
      <c r="C168" s="73">
        <f t="shared" si="15"/>
        <v>45162</v>
      </c>
      <c r="D168" s="33">
        <v>11.58</v>
      </c>
      <c r="E168" s="33">
        <v>37.6</v>
      </c>
      <c r="F168" s="33">
        <v>21.6</v>
      </c>
      <c r="G168" s="33">
        <v>11.95</v>
      </c>
      <c r="H168" s="33">
        <v>90</v>
      </c>
    </row>
    <row r="169" spans="1:8" ht="15.75" customHeight="1" x14ac:dyDescent="0.5">
      <c r="A169" s="31">
        <v>168</v>
      </c>
      <c r="B169" s="31">
        <f t="shared" si="14"/>
        <v>5</v>
      </c>
      <c r="C169" s="73">
        <f t="shared" si="15"/>
        <v>45163</v>
      </c>
      <c r="D169" s="33">
        <v>48.36</v>
      </c>
      <c r="E169" s="33">
        <v>5.2</v>
      </c>
      <c r="F169" s="33">
        <v>19.399999999999999</v>
      </c>
      <c r="G169" s="33">
        <v>15.520000000000001</v>
      </c>
      <c r="H169" s="33">
        <v>129</v>
      </c>
    </row>
    <row r="170" spans="1:8" ht="15.75" customHeight="1" x14ac:dyDescent="0.5">
      <c r="A170" s="31">
        <v>169</v>
      </c>
      <c r="B170" s="31">
        <f t="shared" si="14"/>
        <v>6</v>
      </c>
      <c r="C170" s="73">
        <f t="shared" si="15"/>
        <v>45164</v>
      </c>
      <c r="D170" s="33">
        <v>45.08</v>
      </c>
      <c r="E170" s="33">
        <v>23.6</v>
      </c>
      <c r="F170" s="33">
        <v>57.6</v>
      </c>
      <c r="G170" s="33">
        <v>10.3</v>
      </c>
      <c r="H170" s="33">
        <v>185</v>
      </c>
    </row>
    <row r="171" spans="1:8" ht="15.75" customHeight="1" x14ac:dyDescent="0.5">
      <c r="A171" s="31">
        <v>170</v>
      </c>
      <c r="B171" s="31">
        <f t="shared" si="14"/>
        <v>7</v>
      </c>
      <c r="C171" s="73">
        <f t="shared" si="15"/>
        <v>45165</v>
      </c>
      <c r="D171" s="33">
        <v>60.86</v>
      </c>
      <c r="E171" s="33">
        <v>10.6</v>
      </c>
      <c r="F171" s="33">
        <v>6.4</v>
      </c>
      <c r="G171" s="33">
        <v>31.169999999999995</v>
      </c>
      <c r="H171" s="33">
        <v>162</v>
      </c>
    </row>
    <row r="172" spans="1:8" ht="15.75" customHeight="1" x14ac:dyDescent="0.5">
      <c r="A172" s="31">
        <v>171</v>
      </c>
      <c r="B172" s="31">
        <f t="shared" si="14"/>
        <v>1</v>
      </c>
      <c r="C172" s="73">
        <f t="shared" si="15"/>
        <v>45166</v>
      </c>
      <c r="D172" s="33">
        <v>12</v>
      </c>
      <c r="E172" s="33">
        <v>11.6</v>
      </c>
      <c r="F172" s="33">
        <v>18.399999999999999</v>
      </c>
      <c r="G172" s="33">
        <v>3.4400000000000013</v>
      </c>
      <c r="H172" s="33">
        <v>90</v>
      </c>
    </row>
    <row r="173" spans="1:8" ht="15.75" customHeight="1" x14ac:dyDescent="0.5">
      <c r="A173" s="31">
        <v>172</v>
      </c>
      <c r="B173" s="31">
        <f t="shared" si="14"/>
        <v>2</v>
      </c>
      <c r="C173" s="73">
        <f t="shared" si="15"/>
        <v>45167</v>
      </c>
      <c r="D173" s="33">
        <v>42.9</v>
      </c>
      <c r="E173" s="33">
        <v>20.9</v>
      </c>
      <c r="F173" s="33">
        <v>47.4</v>
      </c>
      <c r="G173" s="33">
        <v>7.9399999999999977</v>
      </c>
      <c r="H173" s="33">
        <v>163</v>
      </c>
    </row>
    <row r="174" spans="1:8" ht="15.75" customHeight="1" x14ac:dyDescent="0.5">
      <c r="A174" s="31">
        <v>173</v>
      </c>
      <c r="B174" s="31">
        <f t="shared" si="14"/>
        <v>3</v>
      </c>
      <c r="C174" s="73">
        <f t="shared" si="15"/>
        <v>45168</v>
      </c>
      <c r="D174" s="33">
        <v>9.92</v>
      </c>
      <c r="E174" s="33">
        <v>20.100000000000001</v>
      </c>
      <c r="F174" s="33">
        <v>17</v>
      </c>
      <c r="G174" s="33">
        <v>5.2100000000000009</v>
      </c>
      <c r="H174" s="33">
        <v>93</v>
      </c>
    </row>
    <row r="175" spans="1:8" ht="15.75" customHeight="1" x14ac:dyDescent="0.5">
      <c r="A175" s="31">
        <v>174</v>
      </c>
      <c r="B175" s="31">
        <f t="shared" si="14"/>
        <v>4</v>
      </c>
      <c r="C175" s="73">
        <f t="shared" si="15"/>
        <v>45169</v>
      </c>
      <c r="D175" s="33">
        <v>36.68</v>
      </c>
      <c r="E175" s="33">
        <v>7.1</v>
      </c>
      <c r="F175" s="33">
        <v>12.8</v>
      </c>
      <c r="G175" s="33">
        <v>15.27</v>
      </c>
      <c r="H175" s="33">
        <v>129</v>
      </c>
    </row>
    <row r="176" spans="1:8" ht="15.75" customHeight="1" x14ac:dyDescent="0.5">
      <c r="A176" s="31">
        <v>175</v>
      </c>
      <c r="B176" s="31">
        <f t="shared" si="14"/>
        <v>5</v>
      </c>
      <c r="C176" s="73">
        <f t="shared" si="15"/>
        <v>45170</v>
      </c>
      <c r="D176" s="33">
        <v>53.480000000000004</v>
      </c>
      <c r="E176" s="33">
        <v>3.4</v>
      </c>
      <c r="F176" s="33">
        <v>13.1</v>
      </c>
      <c r="G176" s="33">
        <v>18.700000000000003</v>
      </c>
      <c r="H176" s="33">
        <v>127</v>
      </c>
    </row>
    <row r="177" spans="1:8" ht="15.75" customHeight="1" x14ac:dyDescent="0.5">
      <c r="A177" s="31">
        <v>176</v>
      </c>
      <c r="B177" s="31">
        <f t="shared" si="14"/>
        <v>6</v>
      </c>
      <c r="C177" s="73">
        <f t="shared" si="15"/>
        <v>45171</v>
      </c>
      <c r="D177" s="33">
        <v>64.38</v>
      </c>
      <c r="E177" s="33">
        <v>48.9</v>
      </c>
      <c r="F177" s="33">
        <v>41.8</v>
      </c>
      <c r="G177" s="33">
        <v>35.42</v>
      </c>
      <c r="H177" s="33">
        <v>271</v>
      </c>
    </row>
    <row r="178" spans="1:8" ht="15.75" customHeight="1" x14ac:dyDescent="0.5">
      <c r="A178" s="31">
        <v>177</v>
      </c>
      <c r="B178" s="31">
        <f t="shared" si="14"/>
        <v>7</v>
      </c>
      <c r="C178" s="73">
        <f t="shared" si="15"/>
        <v>45172</v>
      </c>
      <c r="D178" s="33">
        <v>58.68</v>
      </c>
      <c r="E178" s="33">
        <v>30.2</v>
      </c>
      <c r="F178" s="33">
        <v>20.3</v>
      </c>
      <c r="G178" s="33">
        <v>31.819999999999997</v>
      </c>
      <c r="H178" s="33">
        <v>216</v>
      </c>
    </row>
    <row r="179" spans="1:8" ht="15.75" customHeight="1" x14ac:dyDescent="0.5">
      <c r="A179" s="31">
        <v>178</v>
      </c>
      <c r="B179" s="31">
        <f t="shared" si="14"/>
        <v>1</v>
      </c>
      <c r="C179" s="73">
        <f t="shared" si="15"/>
        <v>45173</v>
      </c>
      <c r="D179" s="33">
        <v>40.04</v>
      </c>
      <c r="E179" s="33">
        <v>7.8</v>
      </c>
      <c r="F179" s="33">
        <v>35.200000000000003</v>
      </c>
      <c r="G179" s="33">
        <v>41.756249999999994</v>
      </c>
      <c r="H179" s="33">
        <v>131</v>
      </c>
    </row>
    <row r="180" spans="1:8" ht="15.75" customHeight="1" x14ac:dyDescent="0.5">
      <c r="A180" s="31">
        <v>179</v>
      </c>
      <c r="B180" s="31">
        <f t="shared" si="14"/>
        <v>2</v>
      </c>
      <c r="C180" s="73">
        <f t="shared" si="15"/>
        <v>45174</v>
      </c>
      <c r="D180" s="33">
        <v>63.339999999999996</v>
      </c>
      <c r="E180" s="33">
        <v>2.2999999999999998</v>
      </c>
      <c r="F180" s="33">
        <v>23.7</v>
      </c>
      <c r="G180" s="33">
        <v>19.339999999999996</v>
      </c>
      <c r="H180" s="33">
        <v>131</v>
      </c>
    </row>
    <row r="181" spans="1:8" ht="15.75" customHeight="1" x14ac:dyDescent="0.5">
      <c r="A181" s="31">
        <v>180</v>
      </c>
      <c r="B181" s="31">
        <f t="shared" si="14"/>
        <v>3</v>
      </c>
      <c r="C181" s="73">
        <f t="shared" si="15"/>
        <v>45175</v>
      </c>
      <c r="D181" s="33">
        <v>41.12</v>
      </c>
      <c r="E181" s="33">
        <v>10</v>
      </c>
      <c r="F181" s="33">
        <v>17.600000000000001</v>
      </c>
      <c r="G181" s="33">
        <v>14.519999999999998</v>
      </c>
      <c r="H181" s="33">
        <v>135</v>
      </c>
    </row>
    <row r="182" spans="1:8" ht="15.75" customHeight="1" x14ac:dyDescent="0.5">
      <c r="A182" s="31">
        <v>181</v>
      </c>
      <c r="B182" s="31">
        <f t="shared" si="14"/>
        <v>4</v>
      </c>
      <c r="C182" s="73">
        <f t="shared" si="15"/>
        <v>45176</v>
      </c>
      <c r="D182" s="33">
        <v>36.32</v>
      </c>
      <c r="E182" s="33">
        <v>2.6</v>
      </c>
      <c r="F182" s="33">
        <v>8.3000000000000007</v>
      </c>
      <c r="G182" s="33">
        <v>13.64</v>
      </c>
      <c r="H182" s="33">
        <v>108</v>
      </c>
    </row>
    <row r="183" spans="1:8" ht="15.75" customHeight="1" x14ac:dyDescent="0.5">
      <c r="A183" s="31">
        <v>182</v>
      </c>
      <c r="B183" s="31">
        <f t="shared" si="14"/>
        <v>5</v>
      </c>
      <c r="C183" s="73">
        <f t="shared" si="15"/>
        <v>45177</v>
      </c>
      <c r="D183" s="33">
        <v>52.7</v>
      </c>
      <c r="E183" s="33">
        <v>5.4</v>
      </c>
      <c r="F183" s="33">
        <v>27.4</v>
      </c>
      <c r="G183" s="33">
        <v>13.59</v>
      </c>
      <c r="H183" s="33">
        <v>124</v>
      </c>
    </row>
    <row r="184" spans="1:8" ht="15.75" customHeight="1" x14ac:dyDescent="0.5">
      <c r="A184" s="31">
        <v>183</v>
      </c>
      <c r="B184" s="31">
        <f t="shared" si="14"/>
        <v>6</v>
      </c>
      <c r="C184" s="73">
        <f t="shared" si="15"/>
        <v>45178</v>
      </c>
      <c r="D184" s="33">
        <v>18.240000000000002</v>
      </c>
      <c r="E184" s="33">
        <v>5.7</v>
      </c>
      <c r="F184" s="33">
        <v>29.7</v>
      </c>
      <c r="G184" s="33">
        <v>16.59</v>
      </c>
      <c r="H184" s="33">
        <v>105</v>
      </c>
    </row>
    <row r="185" spans="1:8" ht="15.75" customHeight="1" x14ac:dyDescent="0.5">
      <c r="A185" s="31">
        <v>184</v>
      </c>
      <c r="B185" s="31">
        <f t="shared" si="14"/>
        <v>7</v>
      </c>
      <c r="C185" s="73">
        <f t="shared" si="15"/>
        <v>45179</v>
      </c>
      <c r="D185" s="33">
        <v>65.52000000000001</v>
      </c>
      <c r="E185" s="33">
        <v>43</v>
      </c>
      <c r="F185" s="33">
        <v>71.8</v>
      </c>
      <c r="G185" s="33">
        <v>21.540000000000006</v>
      </c>
      <c r="H185" s="33">
        <v>272</v>
      </c>
    </row>
    <row r="186" spans="1:8" ht="15.75" customHeight="1" x14ac:dyDescent="0.5">
      <c r="A186" s="31">
        <v>185</v>
      </c>
      <c r="B186" s="31">
        <f t="shared" si="14"/>
        <v>1</v>
      </c>
      <c r="C186" s="73">
        <f t="shared" si="15"/>
        <v>45180</v>
      </c>
      <c r="D186" s="33">
        <v>58.760000000000005</v>
      </c>
      <c r="E186" s="33">
        <v>21.3</v>
      </c>
      <c r="F186" s="33">
        <v>30</v>
      </c>
      <c r="G186" s="33">
        <v>24.03</v>
      </c>
      <c r="H186" s="33">
        <v>188</v>
      </c>
    </row>
    <row r="187" spans="1:8" ht="15.75" customHeight="1" x14ac:dyDescent="0.5">
      <c r="A187" s="31">
        <v>186</v>
      </c>
      <c r="B187" s="31">
        <f t="shared" si="14"/>
        <v>2</v>
      </c>
      <c r="C187" s="73">
        <f t="shared" si="15"/>
        <v>45181</v>
      </c>
      <c r="D187" s="33">
        <v>46</v>
      </c>
      <c r="E187" s="33">
        <v>45.1</v>
      </c>
      <c r="F187" s="33">
        <v>19.600000000000001</v>
      </c>
      <c r="G187" s="33">
        <v>35.209999999999994</v>
      </c>
      <c r="H187" s="33">
        <v>228</v>
      </c>
    </row>
    <row r="188" spans="1:8" ht="15.75" customHeight="1" x14ac:dyDescent="0.5">
      <c r="A188" s="31">
        <v>187</v>
      </c>
      <c r="B188" s="31">
        <f t="shared" si="14"/>
        <v>3</v>
      </c>
      <c r="C188" s="73">
        <f t="shared" si="15"/>
        <v>45182</v>
      </c>
      <c r="D188" s="33">
        <v>35.9</v>
      </c>
      <c r="E188" s="33">
        <v>2.1</v>
      </c>
      <c r="F188" s="33">
        <v>26.6</v>
      </c>
      <c r="G188" s="33">
        <v>4.3599999999999994</v>
      </c>
      <c r="H188" s="33">
        <v>108</v>
      </c>
    </row>
    <row r="189" spans="1:8" ht="15.75" customHeight="1" x14ac:dyDescent="0.5">
      <c r="A189" s="31">
        <v>188</v>
      </c>
      <c r="B189" s="31">
        <f t="shared" si="14"/>
        <v>4</v>
      </c>
      <c r="C189" s="73">
        <f t="shared" si="15"/>
        <v>45183</v>
      </c>
      <c r="D189" s="33">
        <v>41.22</v>
      </c>
      <c r="E189" s="33">
        <v>28.7</v>
      </c>
      <c r="F189" s="33">
        <v>18.2</v>
      </c>
      <c r="G189" s="33">
        <v>26.18</v>
      </c>
      <c r="H189" s="33">
        <v>186</v>
      </c>
    </row>
    <row r="190" spans="1:8" ht="15.75" customHeight="1" x14ac:dyDescent="0.5">
      <c r="A190" s="31">
        <v>189</v>
      </c>
      <c r="B190" s="31">
        <f t="shared" si="14"/>
        <v>5</v>
      </c>
      <c r="C190" s="73">
        <f t="shared" si="15"/>
        <v>45184</v>
      </c>
      <c r="D190" s="33">
        <v>59.2</v>
      </c>
      <c r="E190" s="33">
        <v>13.9</v>
      </c>
      <c r="F190" s="33">
        <v>3.7</v>
      </c>
      <c r="G190" s="33">
        <v>34.070000000000007</v>
      </c>
      <c r="H190" s="33">
        <v>167</v>
      </c>
    </row>
    <row r="191" spans="1:8" ht="15.75" customHeight="1" x14ac:dyDescent="0.5">
      <c r="A191" s="31">
        <v>190</v>
      </c>
      <c r="B191" s="31">
        <f t="shared" si="14"/>
        <v>6</v>
      </c>
      <c r="C191" s="73">
        <f t="shared" si="15"/>
        <v>45185</v>
      </c>
      <c r="D191" s="33">
        <v>6.74</v>
      </c>
      <c r="E191" s="33">
        <v>12.1</v>
      </c>
      <c r="F191" s="33">
        <v>23.4</v>
      </c>
      <c r="G191" s="33">
        <v>18.560000000000002</v>
      </c>
      <c r="H191" s="33">
        <v>83</v>
      </c>
    </row>
    <row r="192" spans="1:8" ht="15.75" customHeight="1" x14ac:dyDescent="0.5">
      <c r="A192" s="31">
        <v>191</v>
      </c>
      <c r="B192" s="31">
        <f t="shared" si="14"/>
        <v>7</v>
      </c>
      <c r="C192" s="73">
        <f t="shared" si="15"/>
        <v>45186</v>
      </c>
      <c r="D192" s="33">
        <v>15.9</v>
      </c>
      <c r="E192" s="33">
        <v>41.1</v>
      </c>
      <c r="F192" s="33">
        <v>5.8</v>
      </c>
      <c r="G192" s="33">
        <v>22.18</v>
      </c>
      <c r="H192" s="33">
        <v>114</v>
      </c>
    </row>
    <row r="193" spans="1:8" ht="15.75" customHeight="1" x14ac:dyDescent="0.5">
      <c r="A193" s="31">
        <v>192</v>
      </c>
      <c r="B193" s="31">
        <f t="shared" si="14"/>
        <v>1</v>
      </c>
      <c r="C193" s="73">
        <f t="shared" si="15"/>
        <v>45187</v>
      </c>
      <c r="D193" s="33">
        <v>21.1</v>
      </c>
      <c r="E193" s="33">
        <v>10.8</v>
      </c>
      <c r="F193" s="33">
        <v>6</v>
      </c>
      <c r="G193" s="33">
        <v>10.549999999999999</v>
      </c>
      <c r="H193" s="33">
        <v>116</v>
      </c>
    </row>
    <row r="194" spans="1:8" ht="15.75" customHeight="1" x14ac:dyDescent="0.5">
      <c r="A194" s="31">
        <v>193</v>
      </c>
      <c r="B194" s="31">
        <f t="shared" ref="B194:B201" si="16">WEEKDAY(C194,2)</f>
        <v>2</v>
      </c>
      <c r="C194" s="73">
        <f t="shared" ref="C194:C200" si="17">+C195-1</f>
        <v>45188</v>
      </c>
      <c r="D194" s="33">
        <v>12.44</v>
      </c>
      <c r="E194" s="33">
        <v>4.0999999999999996</v>
      </c>
      <c r="F194" s="33">
        <v>31.6</v>
      </c>
      <c r="G194" s="33">
        <v>11.129999999999999</v>
      </c>
      <c r="H194" s="33">
        <v>62</v>
      </c>
    </row>
    <row r="195" spans="1:8" ht="15.75" customHeight="1" x14ac:dyDescent="0.5">
      <c r="A195" s="31">
        <v>194</v>
      </c>
      <c r="B195" s="31">
        <f t="shared" si="16"/>
        <v>3</v>
      </c>
      <c r="C195" s="73">
        <f t="shared" si="17"/>
        <v>45189</v>
      </c>
      <c r="D195" s="33">
        <v>41.36</v>
      </c>
      <c r="E195" s="33">
        <v>42</v>
      </c>
      <c r="F195" s="33">
        <v>3.6</v>
      </c>
      <c r="G195" s="33">
        <v>36.24</v>
      </c>
      <c r="H195" s="33">
        <v>204</v>
      </c>
    </row>
    <row r="196" spans="1:8" ht="15.75" customHeight="1" x14ac:dyDescent="0.5">
      <c r="A196" s="31">
        <v>195</v>
      </c>
      <c r="B196" s="31">
        <f t="shared" si="16"/>
        <v>4</v>
      </c>
      <c r="C196" s="73">
        <f t="shared" si="17"/>
        <v>45190</v>
      </c>
      <c r="D196" s="33">
        <v>32.94</v>
      </c>
      <c r="E196" s="33">
        <v>35.6</v>
      </c>
      <c r="F196" s="33">
        <v>6</v>
      </c>
      <c r="G196" s="33">
        <v>17.100000000000001</v>
      </c>
      <c r="H196" s="33">
        <v>184</v>
      </c>
    </row>
    <row r="197" spans="1:8" ht="15.75" customHeight="1" x14ac:dyDescent="0.5">
      <c r="A197" s="31">
        <v>196</v>
      </c>
      <c r="B197" s="31">
        <f t="shared" si="16"/>
        <v>5</v>
      </c>
      <c r="C197" s="73">
        <f t="shared" si="17"/>
        <v>45191</v>
      </c>
      <c r="D197" s="33">
        <v>14.64</v>
      </c>
      <c r="E197" s="33">
        <v>3.7</v>
      </c>
      <c r="F197" s="33">
        <v>13.8</v>
      </c>
      <c r="G197" s="33">
        <v>0.14999999999999947</v>
      </c>
      <c r="H197" s="33">
        <v>91</v>
      </c>
    </row>
    <row r="198" spans="1:8" ht="15.75" customHeight="1" x14ac:dyDescent="0.5">
      <c r="A198" s="31">
        <v>197</v>
      </c>
      <c r="B198" s="31">
        <f t="shared" si="16"/>
        <v>6</v>
      </c>
      <c r="C198" s="73">
        <f t="shared" si="17"/>
        <v>45192</v>
      </c>
      <c r="D198" s="33">
        <v>27.84</v>
      </c>
      <c r="E198" s="33">
        <v>4.9000000000000004</v>
      </c>
      <c r="F198" s="33">
        <v>8.1</v>
      </c>
      <c r="G198" s="33">
        <v>8.6300000000000008</v>
      </c>
      <c r="H198" s="33">
        <v>116</v>
      </c>
    </row>
    <row r="199" spans="1:8" ht="15.75" customHeight="1" x14ac:dyDescent="0.5">
      <c r="A199" s="31">
        <v>198</v>
      </c>
      <c r="B199" s="31">
        <f t="shared" si="16"/>
        <v>7</v>
      </c>
      <c r="C199" s="73">
        <f t="shared" si="17"/>
        <v>45193</v>
      </c>
      <c r="D199" s="33">
        <v>44.4</v>
      </c>
      <c r="E199" s="33">
        <v>9.3000000000000007</v>
      </c>
      <c r="F199" s="33">
        <v>6.4</v>
      </c>
      <c r="G199" s="33">
        <v>19.79</v>
      </c>
      <c r="H199" s="33">
        <v>139</v>
      </c>
    </row>
    <row r="200" spans="1:8" ht="15.75" customHeight="1" x14ac:dyDescent="0.5">
      <c r="A200" s="31">
        <v>199</v>
      </c>
      <c r="B200" s="31">
        <f t="shared" si="16"/>
        <v>1</v>
      </c>
      <c r="C200" s="73">
        <f t="shared" si="17"/>
        <v>45194</v>
      </c>
      <c r="D200" s="33">
        <v>57.720000000000006</v>
      </c>
      <c r="E200" s="33">
        <v>42</v>
      </c>
      <c r="F200" s="33">
        <v>66.2</v>
      </c>
      <c r="G200" s="33">
        <v>22.879999999999995</v>
      </c>
      <c r="H200" s="33">
        <v>235.5</v>
      </c>
    </row>
    <row r="201" spans="1:8" ht="15.75" customHeight="1" x14ac:dyDescent="0.5">
      <c r="A201" s="31">
        <v>200</v>
      </c>
      <c r="B201" s="31">
        <f t="shared" si="16"/>
        <v>2</v>
      </c>
      <c r="C201" s="73">
        <v>45195</v>
      </c>
      <c r="D201" s="33">
        <v>52.42</v>
      </c>
      <c r="E201" s="33">
        <v>8.6</v>
      </c>
      <c r="F201" s="33">
        <v>8.6999999999999993</v>
      </c>
      <c r="G201" s="33">
        <v>1</v>
      </c>
      <c r="H201" s="33">
        <v>139</v>
      </c>
    </row>
    <row r="202" spans="1:8" ht="15.75" customHeight="1" x14ac:dyDescent="0.5"/>
    <row r="203" spans="1:8" ht="15.75" customHeight="1" x14ac:dyDescent="0.5"/>
    <row r="204" spans="1:8" ht="15.75" customHeight="1" x14ac:dyDescent="0.5"/>
    <row r="205" spans="1:8" ht="15.75" customHeight="1" x14ac:dyDescent="0.5"/>
    <row r="206" spans="1:8" ht="15.75" customHeight="1" x14ac:dyDescent="0.5"/>
    <row r="207" spans="1:8" ht="15.75" customHeight="1" x14ac:dyDescent="0.5"/>
    <row r="208" spans="1:8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autoFilter ref="A1:H1" xr:uid="{DC51644F-52B2-E24D-85DA-AFB8901C6F30}">
    <sortState xmlns:xlrd2="http://schemas.microsoft.com/office/spreadsheetml/2017/richdata2" ref="A2:H201">
      <sortCondition ref="A1:A201"/>
    </sortState>
  </autoFilter>
  <mergeCells count="1">
    <mergeCell ref="J3:U3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11B5B-DC43-4581-B917-A4333BA5FD02}">
  <dimension ref="A1:H1000"/>
  <sheetViews>
    <sheetView showGridLines="0" tabSelected="1" topLeftCell="A5" zoomScale="79" zoomScaleNormal="200" workbookViewId="0">
      <selection activeCell="I35" sqref="I35"/>
    </sheetView>
  </sheetViews>
  <sheetFormatPr defaultColWidth="11.1875" defaultRowHeight="15" customHeight="1" x14ac:dyDescent="0.5"/>
  <cols>
    <col min="1" max="2" width="10.5" customWidth="1"/>
    <col min="3" max="3" width="14.5" bestFit="1" customWidth="1"/>
    <col min="4" max="4" width="16.0625" style="4" bestFit="1" customWidth="1"/>
    <col min="5" max="5" width="11.5625" bestFit="1" customWidth="1"/>
    <col min="6" max="6" width="15.5625" bestFit="1" customWidth="1"/>
    <col min="7" max="7" width="13.1875" bestFit="1" customWidth="1"/>
    <col min="8" max="8" width="12" bestFit="1" customWidth="1"/>
    <col min="9" max="15" width="10.5" customWidth="1"/>
  </cols>
  <sheetData>
    <row r="1" spans="1:8" ht="25.9" customHeight="1" x14ac:dyDescent="0.5">
      <c r="A1" s="104" t="s">
        <v>0</v>
      </c>
      <c r="B1" s="104" t="s">
        <v>17</v>
      </c>
      <c r="C1" s="104" t="s">
        <v>1</v>
      </c>
      <c r="D1" s="105" t="s">
        <v>12</v>
      </c>
      <c r="E1" s="105" t="s">
        <v>13</v>
      </c>
      <c r="F1" s="105" t="s">
        <v>14</v>
      </c>
      <c r="G1" s="106" t="s">
        <v>15</v>
      </c>
      <c r="H1" s="105" t="s">
        <v>16</v>
      </c>
    </row>
    <row r="2" spans="1:8" ht="15.75" customHeight="1" x14ac:dyDescent="0.5">
      <c r="A2" s="31">
        <v>1</v>
      </c>
      <c r="B2" s="31">
        <f t="shared" ref="B2:B65" si="0">WEEKDAY(C2,2)</f>
        <v>6</v>
      </c>
      <c r="C2" s="73">
        <f t="shared" ref="C2:C65" si="1">+C3-1</f>
        <v>44996</v>
      </c>
      <c r="D2" s="33">
        <v>56.02</v>
      </c>
      <c r="E2" s="33">
        <v>37.799999999999997</v>
      </c>
      <c r="F2" s="33">
        <v>69.2</v>
      </c>
      <c r="G2" s="33">
        <v>14.229999999999993</v>
      </c>
      <c r="H2" s="33">
        <v>236</v>
      </c>
    </row>
    <row r="3" spans="1:8" ht="15.75" customHeight="1" x14ac:dyDescent="0.5">
      <c r="A3" s="31">
        <v>2</v>
      </c>
      <c r="B3" s="31">
        <f t="shared" si="0"/>
        <v>7</v>
      </c>
      <c r="C3" s="73">
        <f t="shared" si="1"/>
        <v>44997</v>
      </c>
      <c r="D3" s="33">
        <v>10.9</v>
      </c>
      <c r="E3" s="33">
        <v>39.299999999999997</v>
      </c>
      <c r="F3" s="33">
        <v>45.1</v>
      </c>
      <c r="G3" s="33">
        <v>6.0599999999999952</v>
      </c>
      <c r="H3" s="33">
        <v>122</v>
      </c>
    </row>
    <row r="4" spans="1:8" ht="15.75" customHeight="1" x14ac:dyDescent="0.5">
      <c r="A4" s="31">
        <v>3</v>
      </c>
      <c r="B4" s="31">
        <f t="shared" si="0"/>
        <v>1</v>
      </c>
      <c r="C4" s="73">
        <f t="shared" si="1"/>
        <v>44998</v>
      </c>
      <c r="D4" s="33">
        <v>12.44</v>
      </c>
      <c r="E4" s="33">
        <v>45.9</v>
      </c>
      <c r="F4" s="33">
        <v>69.3</v>
      </c>
      <c r="G4" s="33">
        <v>16.95</v>
      </c>
      <c r="H4" s="33">
        <v>96</v>
      </c>
    </row>
    <row r="5" spans="1:8" ht="15.75" customHeight="1" x14ac:dyDescent="0.5">
      <c r="A5" s="31">
        <v>4</v>
      </c>
      <c r="B5" s="31">
        <f t="shared" si="0"/>
        <v>2</v>
      </c>
      <c r="C5" s="73">
        <f t="shared" si="1"/>
        <v>44999</v>
      </c>
      <c r="D5" s="33">
        <v>31.3</v>
      </c>
      <c r="E5" s="33">
        <v>41.3</v>
      </c>
      <c r="F5" s="33">
        <v>58.5</v>
      </c>
      <c r="G5" s="33">
        <v>12.399999999999995</v>
      </c>
      <c r="H5" s="33">
        <v>197</v>
      </c>
    </row>
    <row r="6" spans="1:8" ht="15.75" customHeight="1" x14ac:dyDescent="0.5">
      <c r="A6" s="31">
        <v>5</v>
      </c>
      <c r="B6" s="31">
        <f t="shared" si="0"/>
        <v>3</v>
      </c>
      <c r="C6" s="73">
        <f t="shared" si="1"/>
        <v>45000</v>
      </c>
      <c r="D6" s="33">
        <v>46.160000000000004</v>
      </c>
      <c r="E6" s="33">
        <v>10.8</v>
      </c>
      <c r="F6" s="33">
        <v>58.4</v>
      </c>
      <c r="G6" s="33">
        <v>0.12000000000000455</v>
      </c>
      <c r="H6" s="33">
        <v>137</v>
      </c>
    </row>
    <row r="7" spans="1:8" ht="15.75" customHeight="1" x14ac:dyDescent="0.5">
      <c r="A7" s="31">
        <v>6</v>
      </c>
      <c r="B7" s="31">
        <f t="shared" si="0"/>
        <v>4</v>
      </c>
      <c r="C7" s="73">
        <f t="shared" si="1"/>
        <v>45001</v>
      </c>
      <c r="D7" s="33">
        <v>6.74</v>
      </c>
      <c r="E7" s="33">
        <v>48.9</v>
      </c>
      <c r="F7" s="33">
        <v>75</v>
      </c>
      <c r="G7" s="33">
        <v>15.32</v>
      </c>
      <c r="H7" s="33">
        <v>86</v>
      </c>
    </row>
    <row r="8" spans="1:8" ht="15.75" customHeight="1" x14ac:dyDescent="0.5">
      <c r="A8" s="31">
        <v>7</v>
      </c>
      <c r="B8" s="31">
        <f t="shared" si="0"/>
        <v>5</v>
      </c>
      <c r="C8" s="73">
        <f t="shared" si="1"/>
        <v>45002</v>
      </c>
      <c r="D8" s="33">
        <v>13.5</v>
      </c>
      <c r="E8" s="33">
        <v>32.799999999999997</v>
      </c>
      <c r="F8" s="33">
        <v>23.5</v>
      </c>
      <c r="G8" s="33">
        <v>12.749999999999998</v>
      </c>
      <c r="H8" s="33">
        <v>123</v>
      </c>
    </row>
    <row r="9" spans="1:8" ht="15.75" customHeight="1" x14ac:dyDescent="0.5">
      <c r="A9" s="31">
        <v>8</v>
      </c>
      <c r="B9" s="31">
        <f t="shared" si="0"/>
        <v>6</v>
      </c>
      <c r="C9" s="73">
        <f t="shared" si="1"/>
        <v>45003</v>
      </c>
      <c r="D9" s="33">
        <v>31.04</v>
      </c>
      <c r="E9" s="33">
        <v>19.600000000000001</v>
      </c>
      <c r="F9" s="33">
        <v>11.6</v>
      </c>
      <c r="G9" s="33">
        <v>17.18</v>
      </c>
      <c r="H9" s="33">
        <v>152</v>
      </c>
    </row>
    <row r="10" spans="1:8" ht="15.75" customHeight="1" x14ac:dyDescent="0.5">
      <c r="A10" s="31">
        <v>9</v>
      </c>
      <c r="B10" s="31">
        <f t="shared" si="0"/>
        <v>7</v>
      </c>
      <c r="C10" s="73">
        <f t="shared" si="1"/>
        <v>45004</v>
      </c>
      <c r="D10" s="33">
        <v>9.7200000000000006</v>
      </c>
      <c r="E10" s="33">
        <v>2.1</v>
      </c>
      <c r="F10" s="33">
        <v>1</v>
      </c>
      <c r="G10" s="33">
        <v>1.5100000000000002</v>
      </c>
      <c r="H10" s="33">
        <v>54</v>
      </c>
    </row>
    <row r="11" spans="1:8" ht="15.75" customHeight="1" x14ac:dyDescent="0.5">
      <c r="A11" s="31">
        <v>10</v>
      </c>
      <c r="B11" s="31">
        <f t="shared" si="0"/>
        <v>1</v>
      </c>
      <c r="C11" s="73">
        <f t="shared" si="1"/>
        <v>45005</v>
      </c>
      <c r="D11" s="33">
        <v>40.96</v>
      </c>
      <c r="E11" s="33">
        <v>2.6</v>
      </c>
      <c r="F11" s="33">
        <v>21.2</v>
      </c>
      <c r="G11" s="33">
        <v>12.8</v>
      </c>
      <c r="H11" s="33">
        <v>119</v>
      </c>
    </row>
    <row r="12" spans="1:8" ht="15.75" customHeight="1" x14ac:dyDescent="0.5">
      <c r="A12" s="31">
        <v>11</v>
      </c>
      <c r="B12" s="31">
        <f t="shared" si="0"/>
        <v>2</v>
      </c>
      <c r="C12" s="73">
        <f t="shared" si="1"/>
        <v>45006</v>
      </c>
      <c r="D12" s="33">
        <v>23.22</v>
      </c>
      <c r="E12" s="33">
        <v>5.8</v>
      </c>
      <c r="F12" s="33">
        <v>24.2</v>
      </c>
      <c r="G12" s="33">
        <v>19.829999999999998</v>
      </c>
      <c r="H12" s="33">
        <v>95</v>
      </c>
    </row>
    <row r="13" spans="1:8" ht="15.75" customHeight="1" x14ac:dyDescent="0.5">
      <c r="A13" s="31">
        <v>12</v>
      </c>
      <c r="B13" s="31">
        <f t="shared" si="0"/>
        <v>3</v>
      </c>
      <c r="C13" s="73">
        <f t="shared" si="1"/>
        <v>45007</v>
      </c>
      <c r="D13" s="33">
        <v>50.94</v>
      </c>
      <c r="E13" s="33">
        <v>24</v>
      </c>
      <c r="F13" s="33">
        <v>4</v>
      </c>
      <c r="G13" s="33">
        <v>31.869999999999997</v>
      </c>
      <c r="H13" s="33">
        <v>151.5</v>
      </c>
    </row>
    <row r="14" spans="1:8" ht="15.75" customHeight="1" x14ac:dyDescent="0.5">
      <c r="A14" s="31">
        <v>13</v>
      </c>
      <c r="B14" s="31">
        <f t="shared" si="0"/>
        <v>4</v>
      </c>
      <c r="C14" s="73">
        <f t="shared" si="1"/>
        <v>45008</v>
      </c>
      <c r="D14" s="33">
        <v>10.76</v>
      </c>
      <c r="E14" s="33">
        <v>35.1</v>
      </c>
      <c r="F14" s="33">
        <v>65.900000000000006</v>
      </c>
      <c r="G14" s="33">
        <v>17.100000000000001</v>
      </c>
      <c r="H14" s="33">
        <v>95</v>
      </c>
    </row>
    <row r="15" spans="1:8" ht="15.75" customHeight="1" x14ac:dyDescent="0.5">
      <c r="A15" s="31">
        <v>14</v>
      </c>
      <c r="B15" s="31">
        <f t="shared" si="0"/>
        <v>5</v>
      </c>
      <c r="C15" s="73">
        <f t="shared" si="1"/>
        <v>45009</v>
      </c>
      <c r="D15" s="33">
        <v>26.5</v>
      </c>
      <c r="E15" s="33">
        <v>7.6</v>
      </c>
      <c r="F15" s="33">
        <v>7.2</v>
      </c>
      <c r="G15" s="33">
        <v>17.100000000000001</v>
      </c>
      <c r="H15" s="33">
        <v>113</v>
      </c>
    </row>
    <row r="16" spans="1:8" ht="15.75" customHeight="1" x14ac:dyDescent="0.5">
      <c r="A16" s="31">
        <v>15</v>
      </c>
      <c r="B16" s="31">
        <f t="shared" si="0"/>
        <v>6</v>
      </c>
      <c r="C16" s="73">
        <f t="shared" si="1"/>
        <v>45010</v>
      </c>
      <c r="D16" s="33">
        <v>44.82</v>
      </c>
      <c r="E16" s="33">
        <v>32.9</v>
      </c>
      <c r="F16" s="33">
        <v>46</v>
      </c>
      <c r="G16" s="33">
        <v>18.459999999999997</v>
      </c>
      <c r="H16" s="33">
        <v>191</v>
      </c>
    </row>
    <row r="17" spans="1:8" ht="15.75" customHeight="1" x14ac:dyDescent="0.5">
      <c r="A17" s="31">
        <v>16</v>
      </c>
      <c r="B17" s="31">
        <f t="shared" si="0"/>
        <v>7</v>
      </c>
      <c r="C17" s="73">
        <f t="shared" si="1"/>
        <v>45011</v>
      </c>
      <c r="D17" s="33">
        <v>42.08</v>
      </c>
      <c r="E17" s="33">
        <v>47.7</v>
      </c>
      <c r="F17" s="33">
        <v>52.9</v>
      </c>
      <c r="G17" s="33">
        <v>22.23</v>
      </c>
      <c r="H17" s="33">
        <v>240</v>
      </c>
    </row>
    <row r="18" spans="1:8" ht="15.75" customHeight="1" x14ac:dyDescent="0.5">
      <c r="A18" s="31">
        <v>17</v>
      </c>
      <c r="B18" s="31">
        <f t="shared" si="0"/>
        <v>1</v>
      </c>
      <c r="C18" s="73">
        <f t="shared" si="1"/>
        <v>45012</v>
      </c>
      <c r="D18" s="33">
        <v>89.06</v>
      </c>
      <c r="E18" s="33">
        <v>36.6</v>
      </c>
      <c r="F18" s="33">
        <v>93.625</v>
      </c>
      <c r="G18" s="33">
        <v>23.379999999999995</v>
      </c>
      <c r="H18" s="33">
        <v>135</v>
      </c>
    </row>
    <row r="19" spans="1:8" ht="15.75" customHeight="1" x14ac:dyDescent="0.5">
      <c r="A19" s="31">
        <v>18</v>
      </c>
      <c r="B19" s="31">
        <f t="shared" si="0"/>
        <v>2</v>
      </c>
      <c r="C19" s="73">
        <f t="shared" si="1"/>
        <v>45013</v>
      </c>
      <c r="D19" s="33">
        <v>62.279999999999994</v>
      </c>
      <c r="E19" s="33">
        <v>39.6</v>
      </c>
      <c r="F19" s="33">
        <v>55.8</v>
      </c>
      <c r="G19" s="33">
        <v>25.619999999999997</v>
      </c>
      <c r="H19" s="33">
        <v>258</v>
      </c>
    </row>
    <row r="20" spans="1:8" ht="15.75" customHeight="1" x14ac:dyDescent="0.5">
      <c r="A20" s="31">
        <v>19</v>
      </c>
      <c r="B20" s="31">
        <f t="shared" si="0"/>
        <v>3</v>
      </c>
      <c r="C20" s="73">
        <f t="shared" si="1"/>
        <v>45014</v>
      </c>
      <c r="D20" s="33">
        <v>14.84</v>
      </c>
      <c r="E20" s="33">
        <v>20.5</v>
      </c>
      <c r="F20" s="33">
        <v>18.3</v>
      </c>
      <c r="G20" s="33">
        <v>9.8500000000000014</v>
      </c>
      <c r="H20" s="33">
        <v>127</v>
      </c>
    </row>
    <row r="21" spans="1:8" ht="15.75" customHeight="1" x14ac:dyDescent="0.5">
      <c r="A21" s="31">
        <v>20</v>
      </c>
      <c r="B21" s="31">
        <f t="shared" si="0"/>
        <v>4</v>
      </c>
      <c r="C21" s="73">
        <f t="shared" si="1"/>
        <v>45015</v>
      </c>
      <c r="D21" s="33">
        <v>32.46</v>
      </c>
      <c r="E21" s="33">
        <v>23.9</v>
      </c>
      <c r="F21" s="33">
        <v>19.100000000000001</v>
      </c>
      <c r="G21" s="33">
        <v>19.04</v>
      </c>
      <c r="H21" s="33">
        <v>148</v>
      </c>
    </row>
    <row r="22" spans="1:8" ht="15.75" customHeight="1" x14ac:dyDescent="0.5">
      <c r="A22" s="31">
        <v>21</v>
      </c>
      <c r="B22" s="31">
        <f t="shared" si="0"/>
        <v>5</v>
      </c>
      <c r="C22" s="73">
        <f t="shared" si="1"/>
        <v>45016</v>
      </c>
      <c r="D22" s="33">
        <v>46.68</v>
      </c>
      <c r="E22" s="33">
        <v>27.7</v>
      </c>
      <c r="F22" s="33">
        <v>53.4</v>
      </c>
      <c r="G22" s="33">
        <v>14.329999999999998</v>
      </c>
      <c r="H22" s="33">
        <v>188</v>
      </c>
    </row>
    <row r="23" spans="1:8" ht="15.75" customHeight="1" x14ac:dyDescent="0.5">
      <c r="A23" s="31">
        <v>22</v>
      </c>
      <c r="B23" s="31">
        <f t="shared" si="0"/>
        <v>6</v>
      </c>
      <c r="C23" s="73">
        <f t="shared" si="1"/>
        <v>45017</v>
      </c>
      <c r="D23" s="33">
        <v>48.480000000000004</v>
      </c>
      <c r="E23" s="33">
        <v>76.949999999999989</v>
      </c>
      <c r="F23" s="33">
        <v>23.5</v>
      </c>
      <c r="G23" s="33">
        <v>16.89</v>
      </c>
      <c r="H23" s="33">
        <v>127</v>
      </c>
    </row>
    <row r="24" spans="1:8" ht="15.75" customHeight="1" x14ac:dyDescent="0.5">
      <c r="A24" s="31">
        <v>23</v>
      </c>
      <c r="B24" s="31">
        <f t="shared" si="0"/>
        <v>7</v>
      </c>
      <c r="C24" s="73">
        <f t="shared" si="1"/>
        <v>45018</v>
      </c>
      <c r="D24" s="33">
        <v>11.64</v>
      </c>
      <c r="E24" s="33">
        <v>15.9</v>
      </c>
      <c r="F24" s="33">
        <v>49.6</v>
      </c>
      <c r="G24" s="33">
        <v>9.4299999999999962</v>
      </c>
      <c r="H24" s="33">
        <v>170.89285714285714</v>
      </c>
    </row>
    <row r="25" spans="1:8" ht="15.75" customHeight="1" x14ac:dyDescent="0.5">
      <c r="A25" s="31">
        <v>24</v>
      </c>
      <c r="B25" s="31">
        <f t="shared" si="0"/>
        <v>1</v>
      </c>
      <c r="C25" s="73">
        <f t="shared" si="1"/>
        <v>45019</v>
      </c>
      <c r="D25" s="33">
        <v>49.660000000000004</v>
      </c>
      <c r="E25" s="33">
        <v>16.899999999999999</v>
      </c>
      <c r="F25" s="33">
        <v>26.2</v>
      </c>
      <c r="G25" s="33">
        <v>20.8</v>
      </c>
      <c r="H25" s="33">
        <v>175</v>
      </c>
    </row>
    <row r="26" spans="1:8" ht="15.75" customHeight="1" x14ac:dyDescent="0.5">
      <c r="A26" s="31">
        <v>25</v>
      </c>
      <c r="B26" s="31">
        <f t="shared" si="0"/>
        <v>2</v>
      </c>
      <c r="C26" s="73">
        <f t="shared" si="1"/>
        <v>45020</v>
      </c>
      <c r="D26" s="33">
        <v>20.46</v>
      </c>
      <c r="E26" s="33">
        <v>12.6</v>
      </c>
      <c r="F26" s="33">
        <v>18.3</v>
      </c>
      <c r="G26" s="33">
        <v>5.2099999999999991</v>
      </c>
      <c r="H26" s="33">
        <v>110</v>
      </c>
    </row>
    <row r="27" spans="1:8" ht="15.75" customHeight="1" x14ac:dyDescent="0.5">
      <c r="A27" s="31">
        <v>26</v>
      </c>
      <c r="B27" s="31">
        <f t="shared" si="0"/>
        <v>3</v>
      </c>
      <c r="C27" s="73">
        <f t="shared" si="1"/>
        <v>45021</v>
      </c>
      <c r="D27" s="33">
        <v>59.58</v>
      </c>
      <c r="E27" s="33">
        <v>3.5</v>
      </c>
      <c r="F27" s="33">
        <v>19.5</v>
      </c>
      <c r="G27" s="33">
        <v>20.239999999999998</v>
      </c>
      <c r="H27" s="33">
        <v>139</v>
      </c>
    </row>
    <row r="28" spans="1:8" ht="15.75" customHeight="1" x14ac:dyDescent="0.5">
      <c r="A28" s="31">
        <v>27</v>
      </c>
      <c r="B28" s="31">
        <f t="shared" si="0"/>
        <v>4</v>
      </c>
      <c r="C28" s="73">
        <f t="shared" si="1"/>
        <v>45022</v>
      </c>
      <c r="D28" s="33">
        <v>38.58</v>
      </c>
      <c r="E28" s="33">
        <v>29.3</v>
      </c>
      <c r="F28" s="33">
        <v>12.6</v>
      </c>
      <c r="G28" s="33">
        <v>23.900000000000002</v>
      </c>
      <c r="H28" s="33">
        <v>167</v>
      </c>
    </row>
    <row r="29" spans="1:8" ht="15.75" customHeight="1" x14ac:dyDescent="0.5">
      <c r="A29" s="31">
        <v>28</v>
      </c>
      <c r="B29" s="31">
        <f t="shared" si="0"/>
        <v>5</v>
      </c>
      <c r="C29" s="73">
        <f t="shared" si="1"/>
        <v>45023</v>
      </c>
      <c r="D29" s="33">
        <v>49.019999999999996</v>
      </c>
      <c r="E29" s="33">
        <v>16.7</v>
      </c>
      <c r="F29" s="33">
        <v>22.9</v>
      </c>
      <c r="G29" s="33">
        <v>23.2</v>
      </c>
      <c r="H29" s="33">
        <v>168</v>
      </c>
    </row>
    <row r="30" spans="1:8" ht="15.75" customHeight="1" x14ac:dyDescent="0.5">
      <c r="A30" s="31">
        <v>29</v>
      </c>
      <c r="B30" s="31">
        <f t="shared" si="0"/>
        <v>6</v>
      </c>
      <c r="C30" s="73">
        <f t="shared" si="1"/>
        <v>45024</v>
      </c>
      <c r="D30" s="33">
        <v>52.760000000000005</v>
      </c>
      <c r="E30" s="33">
        <v>27.1</v>
      </c>
      <c r="F30" s="33">
        <v>22.9</v>
      </c>
      <c r="G30" s="33">
        <v>29.270000000000007</v>
      </c>
      <c r="H30" s="33">
        <v>199</v>
      </c>
    </row>
    <row r="31" spans="1:8" ht="15.75" customHeight="1" x14ac:dyDescent="0.5">
      <c r="A31" s="31">
        <v>30</v>
      </c>
      <c r="B31" s="31">
        <f t="shared" si="0"/>
        <v>7</v>
      </c>
      <c r="C31" s="73">
        <f t="shared" si="1"/>
        <v>45025</v>
      </c>
      <c r="D31" s="33">
        <v>15.12</v>
      </c>
      <c r="E31" s="33">
        <v>16</v>
      </c>
      <c r="F31" s="33">
        <v>40.799999999999997</v>
      </c>
      <c r="G31" s="33">
        <v>18.739999999999998</v>
      </c>
      <c r="H31" s="33">
        <v>123</v>
      </c>
    </row>
    <row r="32" spans="1:8" ht="15.75" customHeight="1" x14ac:dyDescent="0.5">
      <c r="A32" s="31">
        <v>31</v>
      </c>
      <c r="B32" s="31">
        <f t="shared" si="0"/>
        <v>1</v>
      </c>
      <c r="C32" s="73">
        <f t="shared" si="1"/>
        <v>45026</v>
      </c>
      <c r="D32" s="33">
        <v>59.58</v>
      </c>
      <c r="E32" s="33">
        <v>28.3</v>
      </c>
      <c r="F32" s="33">
        <v>43.2</v>
      </c>
      <c r="G32" s="33">
        <v>26.159999999999997</v>
      </c>
      <c r="H32" s="33">
        <v>231</v>
      </c>
    </row>
    <row r="33" spans="1:8" ht="15.75" customHeight="1" x14ac:dyDescent="0.5">
      <c r="A33" s="31">
        <v>32</v>
      </c>
      <c r="B33" s="31">
        <f t="shared" si="0"/>
        <v>2</v>
      </c>
      <c r="C33" s="73">
        <f t="shared" si="1"/>
        <v>45027</v>
      </c>
      <c r="D33" s="33">
        <v>92.987500000000011</v>
      </c>
      <c r="E33" s="33">
        <v>17.399999999999999</v>
      </c>
      <c r="F33" s="33">
        <v>38.6</v>
      </c>
      <c r="G33" s="33">
        <v>37.253750000000011</v>
      </c>
      <c r="H33" s="33">
        <v>126</v>
      </c>
    </row>
    <row r="34" spans="1:8" ht="15.75" customHeight="1" x14ac:dyDescent="0.5">
      <c r="A34" s="31">
        <v>33</v>
      </c>
      <c r="B34" s="31">
        <f t="shared" si="0"/>
        <v>3</v>
      </c>
      <c r="C34" s="73">
        <f t="shared" si="1"/>
        <v>45028</v>
      </c>
      <c r="D34" s="33">
        <v>20.440000000000001</v>
      </c>
      <c r="E34" s="33">
        <v>1.5</v>
      </c>
      <c r="F34" s="33">
        <v>30</v>
      </c>
      <c r="G34" s="33">
        <v>18.47</v>
      </c>
      <c r="H34" s="33">
        <v>112</v>
      </c>
    </row>
    <row r="35" spans="1:8" ht="15.75" customHeight="1" x14ac:dyDescent="0.5">
      <c r="A35" s="31">
        <v>34</v>
      </c>
      <c r="B35" s="31">
        <f t="shared" si="0"/>
        <v>4</v>
      </c>
      <c r="C35" s="73">
        <f t="shared" si="1"/>
        <v>45029</v>
      </c>
      <c r="D35" s="33">
        <v>61.120000000000005</v>
      </c>
      <c r="E35" s="33">
        <v>20</v>
      </c>
      <c r="F35" s="33">
        <v>0.3</v>
      </c>
      <c r="G35" s="33">
        <v>36.440000000000005</v>
      </c>
      <c r="H35" s="33">
        <v>184</v>
      </c>
    </row>
    <row r="36" spans="1:8" ht="15.75" customHeight="1" x14ac:dyDescent="0.5">
      <c r="A36" s="31">
        <v>35</v>
      </c>
      <c r="B36" s="31">
        <f t="shared" si="0"/>
        <v>5</v>
      </c>
      <c r="C36" s="73">
        <f t="shared" si="1"/>
        <v>45030</v>
      </c>
      <c r="D36" s="33">
        <v>24.14</v>
      </c>
      <c r="E36" s="33">
        <v>1.4</v>
      </c>
      <c r="F36" s="33">
        <v>7.4</v>
      </c>
      <c r="G36" s="33">
        <v>7.3099999999999987</v>
      </c>
      <c r="H36" s="33">
        <v>91.5</v>
      </c>
    </row>
    <row r="37" spans="1:8" ht="15.75" customHeight="1" x14ac:dyDescent="0.5">
      <c r="A37" s="31">
        <v>36</v>
      </c>
      <c r="B37" s="31">
        <f t="shared" si="0"/>
        <v>6</v>
      </c>
      <c r="C37" s="73">
        <f t="shared" si="1"/>
        <v>45031</v>
      </c>
      <c r="D37" s="33">
        <v>62.14</v>
      </c>
      <c r="E37" s="33">
        <v>4.0999999999999996</v>
      </c>
      <c r="F37" s="33">
        <v>8.5</v>
      </c>
      <c r="G37" s="33">
        <v>27.72</v>
      </c>
      <c r="H37" s="33">
        <v>129</v>
      </c>
    </row>
    <row r="38" spans="1:8" ht="15.75" customHeight="1" x14ac:dyDescent="0.5">
      <c r="A38" s="31">
        <v>37</v>
      </c>
      <c r="B38" s="31">
        <f t="shared" si="0"/>
        <v>7</v>
      </c>
      <c r="C38" s="73">
        <f t="shared" si="1"/>
        <v>45032</v>
      </c>
      <c r="D38" s="33">
        <v>56.379999999999995</v>
      </c>
      <c r="E38" s="33">
        <v>43.8</v>
      </c>
      <c r="F38" s="33">
        <v>5</v>
      </c>
      <c r="G38" s="33">
        <v>41.756249999999994</v>
      </c>
      <c r="H38" s="33">
        <v>256</v>
      </c>
    </row>
    <row r="39" spans="1:8" ht="15.75" customHeight="1" x14ac:dyDescent="0.5">
      <c r="A39" s="31">
        <v>38</v>
      </c>
      <c r="B39" s="31">
        <f t="shared" si="0"/>
        <v>1</v>
      </c>
      <c r="C39" s="73">
        <f t="shared" si="1"/>
        <v>45033</v>
      </c>
      <c r="D39" s="33">
        <v>24.94</v>
      </c>
      <c r="E39" s="33">
        <v>49.4</v>
      </c>
      <c r="F39" s="33">
        <v>45.7</v>
      </c>
      <c r="G39" s="33">
        <v>13.89</v>
      </c>
      <c r="H39" s="33">
        <v>152</v>
      </c>
    </row>
    <row r="40" spans="1:8" ht="15.75" customHeight="1" x14ac:dyDescent="0.5">
      <c r="A40" s="31">
        <v>39</v>
      </c>
      <c r="B40" s="31">
        <f t="shared" si="0"/>
        <v>2</v>
      </c>
      <c r="C40" s="73">
        <f t="shared" si="1"/>
        <v>45034</v>
      </c>
      <c r="D40" s="33">
        <v>14.620000000000001</v>
      </c>
      <c r="E40" s="33">
        <v>26.7</v>
      </c>
      <c r="F40" s="33">
        <v>35.1</v>
      </c>
      <c r="G40" s="33">
        <v>3.6199999999999992</v>
      </c>
      <c r="H40" s="33">
        <v>114</v>
      </c>
    </row>
    <row r="41" spans="1:8" ht="15.75" customHeight="1" x14ac:dyDescent="0.5">
      <c r="A41" s="31">
        <v>40</v>
      </c>
      <c r="B41" s="31">
        <f t="shared" si="0"/>
        <v>3</v>
      </c>
      <c r="C41" s="73">
        <f t="shared" si="1"/>
        <v>45035</v>
      </c>
      <c r="D41" s="33">
        <v>53.6</v>
      </c>
      <c r="E41" s="33">
        <v>37.700000000000003</v>
      </c>
      <c r="F41" s="33">
        <v>32</v>
      </c>
      <c r="G41" s="33">
        <v>28.850000000000005</v>
      </c>
      <c r="H41" s="33">
        <v>230</v>
      </c>
    </row>
    <row r="42" spans="1:8" ht="15.75" customHeight="1" x14ac:dyDescent="0.5">
      <c r="A42" s="31">
        <v>41</v>
      </c>
      <c r="B42" s="31">
        <f t="shared" si="0"/>
        <v>4</v>
      </c>
      <c r="C42" s="73">
        <f t="shared" si="1"/>
        <v>45036</v>
      </c>
      <c r="D42" s="33">
        <v>45.5</v>
      </c>
      <c r="E42" s="33">
        <v>22.3</v>
      </c>
      <c r="F42" s="33">
        <v>31.6</v>
      </c>
      <c r="G42" s="33">
        <v>18.759999999999998</v>
      </c>
      <c r="H42" s="33">
        <v>179</v>
      </c>
    </row>
    <row r="43" spans="1:8" ht="15.75" customHeight="1" x14ac:dyDescent="0.5">
      <c r="A43" s="31">
        <v>42</v>
      </c>
      <c r="B43" s="31">
        <f t="shared" si="0"/>
        <v>5</v>
      </c>
      <c r="C43" s="73">
        <f t="shared" si="1"/>
        <v>45037</v>
      </c>
      <c r="D43" s="33">
        <v>40.4</v>
      </c>
      <c r="E43" s="33">
        <v>33.4</v>
      </c>
      <c r="F43" s="33">
        <v>38.700000000000003</v>
      </c>
      <c r="G43" s="33">
        <v>18.919999999999995</v>
      </c>
      <c r="H43" s="33">
        <v>186</v>
      </c>
    </row>
    <row r="44" spans="1:8" ht="15.75" customHeight="1" x14ac:dyDescent="0.5">
      <c r="A44" s="31">
        <v>43</v>
      </c>
      <c r="B44" s="31">
        <f t="shared" si="0"/>
        <v>6</v>
      </c>
      <c r="C44" s="73">
        <f t="shared" si="1"/>
        <v>45038</v>
      </c>
      <c r="D44" s="33">
        <v>67.72</v>
      </c>
      <c r="E44" s="33">
        <v>27.7</v>
      </c>
      <c r="F44" s="33">
        <v>1.8</v>
      </c>
      <c r="G44" s="33">
        <v>41.756249999999994</v>
      </c>
      <c r="H44" s="33">
        <v>226</v>
      </c>
    </row>
    <row r="45" spans="1:8" ht="15.75" customHeight="1" x14ac:dyDescent="0.5">
      <c r="A45" s="31">
        <v>44</v>
      </c>
      <c r="B45" s="31">
        <f t="shared" si="0"/>
        <v>7</v>
      </c>
      <c r="C45" s="73">
        <f t="shared" si="1"/>
        <v>45039</v>
      </c>
      <c r="D45" s="33">
        <v>51.38</v>
      </c>
      <c r="E45" s="33">
        <v>8.4</v>
      </c>
      <c r="F45" s="33">
        <v>26.4</v>
      </c>
      <c r="G45" s="33">
        <v>14.33</v>
      </c>
      <c r="H45" s="33">
        <v>149</v>
      </c>
    </row>
    <row r="46" spans="1:8" ht="15.75" customHeight="1" x14ac:dyDescent="0.5">
      <c r="A46" s="31">
        <v>45</v>
      </c>
      <c r="B46" s="31">
        <f t="shared" si="0"/>
        <v>1</v>
      </c>
      <c r="C46" s="73">
        <f t="shared" si="1"/>
        <v>45040</v>
      </c>
      <c r="D46" s="33">
        <v>12.02</v>
      </c>
      <c r="E46" s="33">
        <v>25.7</v>
      </c>
      <c r="F46" s="33">
        <v>43.3</v>
      </c>
      <c r="G46" s="33">
        <v>18.04</v>
      </c>
      <c r="H46" s="33">
        <v>89</v>
      </c>
    </row>
    <row r="47" spans="1:8" ht="15.75" customHeight="1" x14ac:dyDescent="0.5">
      <c r="A47" s="31">
        <v>46</v>
      </c>
      <c r="B47" s="31">
        <f t="shared" si="0"/>
        <v>2</v>
      </c>
      <c r="C47" s="73">
        <f t="shared" si="1"/>
        <v>45041</v>
      </c>
      <c r="D47" s="33">
        <v>42.019999999999996</v>
      </c>
      <c r="E47" s="33">
        <v>22.5</v>
      </c>
      <c r="F47" s="33">
        <v>31.5</v>
      </c>
      <c r="G47" s="33">
        <v>16.159999999999997</v>
      </c>
      <c r="H47" s="33">
        <v>165</v>
      </c>
    </row>
    <row r="48" spans="1:8" ht="15.75" customHeight="1" x14ac:dyDescent="0.5">
      <c r="A48" s="31">
        <v>47</v>
      </c>
      <c r="B48" s="31">
        <f t="shared" si="0"/>
        <v>3</v>
      </c>
      <c r="C48" s="73">
        <f t="shared" si="1"/>
        <v>45042</v>
      </c>
      <c r="D48" s="33">
        <v>18.940000000000001</v>
      </c>
      <c r="E48" s="33">
        <v>9.9</v>
      </c>
      <c r="F48" s="33">
        <v>35.700000000000003</v>
      </c>
      <c r="G48" s="33">
        <v>19.64</v>
      </c>
      <c r="H48" s="33">
        <v>119</v>
      </c>
    </row>
    <row r="49" spans="1:8" ht="15.75" customHeight="1" x14ac:dyDescent="0.5">
      <c r="A49" s="31">
        <v>48</v>
      </c>
      <c r="B49" s="31">
        <f t="shared" si="0"/>
        <v>4</v>
      </c>
      <c r="C49" s="73">
        <f t="shared" si="1"/>
        <v>45043</v>
      </c>
      <c r="D49" s="33">
        <v>52.980000000000004</v>
      </c>
      <c r="E49" s="33">
        <v>41.5</v>
      </c>
      <c r="F49" s="33">
        <v>18.5</v>
      </c>
      <c r="G49" s="33">
        <v>37.340000000000003</v>
      </c>
      <c r="H49" s="33">
        <v>245</v>
      </c>
    </row>
    <row r="50" spans="1:8" ht="15.75" customHeight="1" x14ac:dyDescent="0.5">
      <c r="A50" s="31">
        <v>49</v>
      </c>
      <c r="B50" s="31">
        <f t="shared" si="0"/>
        <v>5</v>
      </c>
      <c r="C50" s="73">
        <f t="shared" si="1"/>
        <v>45044</v>
      </c>
      <c r="D50" s="33">
        <v>46.44</v>
      </c>
      <c r="E50" s="33">
        <v>15.8</v>
      </c>
      <c r="F50" s="33">
        <v>49.9</v>
      </c>
      <c r="G50" s="33">
        <v>10.659999999999997</v>
      </c>
      <c r="H50" s="33">
        <v>149</v>
      </c>
    </row>
    <row r="51" spans="1:8" ht="15.75" customHeight="1" x14ac:dyDescent="0.5">
      <c r="A51" s="31">
        <v>50</v>
      </c>
      <c r="B51" s="31">
        <f t="shared" si="0"/>
        <v>6</v>
      </c>
      <c r="C51" s="73">
        <f t="shared" si="1"/>
        <v>45045</v>
      </c>
      <c r="D51" s="33">
        <v>14.38</v>
      </c>
      <c r="E51" s="33">
        <v>11.7</v>
      </c>
      <c r="F51" s="33">
        <v>36.799999999999997</v>
      </c>
      <c r="G51" s="33">
        <v>17.82</v>
      </c>
      <c r="H51" s="33">
        <v>111</v>
      </c>
    </row>
    <row r="52" spans="1:8" ht="15.75" customHeight="1" x14ac:dyDescent="0.5">
      <c r="A52" s="31">
        <v>51</v>
      </c>
      <c r="B52" s="31">
        <f t="shared" si="0"/>
        <v>7</v>
      </c>
      <c r="C52" s="73">
        <f t="shared" si="1"/>
        <v>45046</v>
      </c>
      <c r="D52" s="33">
        <v>43.96</v>
      </c>
      <c r="E52" s="33">
        <v>3.1</v>
      </c>
      <c r="F52" s="33">
        <v>34.6</v>
      </c>
      <c r="G52" s="33">
        <v>7.6899999999999995</v>
      </c>
      <c r="H52" s="33">
        <v>122</v>
      </c>
    </row>
    <row r="53" spans="1:8" ht="15.75" customHeight="1" x14ac:dyDescent="0.5">
      <c r="A53" s="31">
        <v>52</v>
      </c>
      <c r="B53" s="31">
        <f t="shared" si="0"/>
        <v>1</v>
      </c>
      <c r="C53" s="73">
        <f t="shared" si="1"/>
        <v>45047</v>
      </c>
      <c r="D53" s="33">
        <v>29.080000000000002</v>
      </c>
      <c r="E53" s="33">
        <v>9.6</v>
      </c>
      <c r="F53" s="33">
        <v>3.6</v>
      </c>
      <c r="G53" s="33">
        <v>13.4</v>
      </c>
      <c r="H53" s="33">
        <v>112</v>
      </c>
    </row>
    <row r="54" spans="1:8" ht="15.75" customHeight="1" x14ac:dyDescent="0.5">
      <c r="A54" s="31">
        <v>53</v>
      </c>
      <c r="B54" s="31">
        <f t="shared" si="0"/>
        <v>2</v>
      </c>
      <c r="C54" s="73">
        <f t="shared" si="1"/>
        <v>45048</v>
      </c>
      <c r="D54" s="33">
        <v>44.28</v>
      </c>
      <c r="E54" s="33">
        <v>41.7</v>
      </c>
      <c r="F54" s="33">
        <v>39.6</v>
      </c>
      <c r="G54" s="33">
        <v>26.65</v>
      </c>
      <c r="H54" s="33">
        <v>235</v>
      </c>
    </row>
    <row r="55" spans="1:8" ht="15.75" customHeight="1" x14ac:dyDescent="0.5">
      <c r="A55" s="31">
        <v>54</v>
      </c>
      <c r="B55" s="31">
        <f t="shared" si="0"/>
        <v>3</v>
      </c>
      <c r="C55" s="73">
        <f t="shared" si="1"/>
        <v>45049</v>
      </c>
      <c r="D55" s="33">
        <v>41.519999999999996</v>
      </c>
      <c r="E55" s="33">
        <v>46.2</v>
      </c>
      <c r="F55" s="33">
        <v>58.7</v>
      </c>
      <c r="G55" s="33">
        <v>17.879999999999995</v>
      </c>
      <c r="H55" s="33">
        <v>225</v>
      </c>
    </row>
    <row r="56" spans="1:8" ht="15.75" customHeight="1" x14ac:dyDescent="0.5">
      <c r="A56" s="31">
        <v>55</v>
      </c>
      <c r="B56" s="31">
        <f t="shared" si="0"/>
        <v>4</v>
      </c>
      <c r="C56" s="73">
        <f t="shared" si="1"/>
        <v>45050</v>
      </c>
      <c r="D56" s="33">
        <v>62.54</v>
      </c>
      <c r="E56" s="33">
        <v>28.8</v>
      </c>
      <c r="F56" s="33">
        <v>15.9</v>
      </c>
      <c r="G56" s="33">
        <v>34.31</v>
      </c>
      <c r="H56" s="33">
        <v>220</v>
      </c>
    </row>
    <row r="57" spans="1:8" ht="15.75" customHeight="1" x14ac:dyDescent="0.5">
      <c r="A57" s="31">
        <v>56</v>
      </c>
      <c r="B57" s="31">
        <f t="shared" si="0"/>
        <v>5</v>
      </c>
      <c r="C57" s="73">
        <f t="shared" si="1"/>
        <v>45051</v>
      </c>
      <c r="D57" s="33">
        <v>40.78</v>
      </c>
      <c r="E57" s="33">
        <v>49.4</v>
      </c>
      <c r="F57" s="33">
        <v>60</v>
      </c>
      <c r="G57" s="33">
        <v>20.590000000000003</v>
      </c>
      <c r="H57" s="33">
        <v>240</v>
      </c>
    </row>
    <row r="58" spans="1:8" ht="15.75" customHeight="1" x14ac:dyDescent="0.5">
      <c r="A58" s="31">
        <v>57</v>
      </c>
      <c r="B58" s="31">
        <f t="shared" si="0"/>
        <v>6</v>
      </c>
      <c r="C58" s="73">
        <f t="shared" si="1"/>
        <v>45052</v>
      </c>
      <c r="D58" s="33">
        <v>3.46</v>
      </c>
      <c r="E58" s="33">
        <v>28.1</v>
      </c>
      <c r="F58" s="33">
        <v>41.4</v>
      </c>
      <c r="G58" s="33">
        <v>18.220000000000002</v>
      </c>
      <c r="H58" s="33">
        <v>71</v>
      </c>
    </row>
    <row r="59" spans="1:8" ht="15.75" customHeight="1" x14ac:dyDescent="0.5">
      <c r="A59" s="31">
        <v>58</v>
      </c>
      <c r="B59" s="31">
        <f t="shared" si="0"/>
        <v>7</v>
      </c>
      <c r="C59" s="73">
        <f t="shared" si="1"/>
        <v>45053</v>
      </c>
      <c r="D59" s="33">
        <v>33.239999999999995</v>
      </c>
      <c r="E59" s="33">
        <v>19.2</v>
      </c>
      <c r="F59" s="33">
        <v>16.600000000000001</v>
      </c>
      <c r="G59" s="33">
        <v>16.579999999999998</v>
      </c>
      <c r="H59" s="33">
        <v>133</v>
      </c>
    </row>
    <row r="60" spans="1:8" ht="15.75" customHeight="1" x14ac:dyDescent="0.5">
      <c r="A60" s="31">
        <v>59</v>
      </c>
      <c r="B60" s="31">
        <f t="shared" si="0"/>
        <v>1</v>
      </c>
      <c r="C60" s="73">
        <f t="shared" si="1"/>
        <v>45054</v>
      </c>
      <c r="D60" s="33">
        <v>49.160000000000004</v>
      </c>
      <c r="E60" s="33">
        <v>49.6</v>
      </c>
      <c r="F60" s="33">
        <v>37.700000000000003</v>
      </c>
      <c r="G60" s="33">
        <v>30.8</v>
      </c>
      <c r="H60" s="33">
        <v>239</v>
      </c>
    </row>
    <row r="61" spans="1:8" ht="15.75" customHeight="1" x14ac:dyDescent="0.5">
      <c r="A61" s="31">
        <v>60</v>
      </c>
      <c r="B61" s="31">
        <f t="shared" si="0"/>
        <v>2</v>
      </c>
      <c r="C61" s="73">
        <f t="shared" si="1"/>
        <v>45055</v>
      </c>
      <c r="D61" s="33">
        <v>50.14</v>
      </c>
      <c r="E61" s="33">
        <v>29.5</v>
      </c>
      <c r="F61" s="33">
        <v>9.3000000000000007</v>
      </c>
      <c r="G61" s="33">
        <v>32.1</v>
      </c>
      <c r="H61" s="33">
        <v>186</v>
      </c>
    </row>
    <row r="62" spans="1:8" ht="15.75" customHeight="1" x14ac:dyDescent="0.5">
      <c r="A62" s="31">
        <v>61</v>
      </c>
      <c r="B62" s="31">
        <f t="shared" si="0"/>
        <v>3</v>
      </c>
      <c r="C62" s="73">
        <f t="shared" si="1"/>
        <v>45056</v>
      </c>
      <c r="D62" s="33">
        <v>16.7</v>
      </c>
      <c r="E62" s="33">
        <v>2</v>
      </c>
      <c r="F62" s="33">
        <v>21.4</v>
      </c>
      <c r="G62" s="33">
        <v>17.79</v>
      </c>
      <c r="H62" s="33">
        <v>83</v>
      </c>
    </row>
    <row r="63" spans="1:8" ht="15.75" customHeight="1" x14ac:dyDescent="0.5">
      <c r="A63" s="31">
        <v>62</v>
      </c>
      <c r="B63" s="31">
        <f t="shared" si="0"/>
        <v>4</v>
      </c>
      <c r="C63" s="73">
        <f t="shared" si="1"/>
        <v>45057</v>
      </c>
      <c r="D63" s="33">
        <v>61.260000000000005</v>
      </c>
      <c r="E63" s="33">
        <v>42.7</v>
      </c>
      <c r="F63" s="33">
        <v>54.7</v>
      </c>
      <c r="G63" s="33">
        <v>25.6</v>
      </c>
      <c r="H63" s="33">
        <v>240</v>
      </c>
    </row>
    <row r="64" spans="1:8" ht="15.75" customHeight="1" x14ac:dyDescent="0.5">
      <c r="A64" s="31">
        <v>63</v>
      </c>
      <c r="B64" s="31">
        <f t="shared" si="0"/>
        <v>5</v>
      </c>
      <c r="C64" s="73">
        <f t="shared" si="1"/>
        <v>45058</v>
      </c>
      <c r="D64" s="33">
        <v>53.86</v>
      </c>
      <c r="E64" s="33">
        <v>15.5</v>
      </c>
      <c r="F64" s="33">
        <v>27.3</v>
      </c>
      <c r="G64" s="33">
        <v>20.759999999999998</v>
      </c>
      <c r="H64" s="33">
        <v>170</v>
      </c>
    </row>
    <row r="65" spans="1:8" ht="15.75" customHeight="1" x14ac:dyDescent="0.5">
      <c r="A65" s="31">
        <v>64</v>
      </c>
      <c r="B65" s="31">
        <f t="shared" si="0"/>
        <v>6</v>
      </c>
      <c r="C65" s="73">
        <f t="shared" si="1"/>
        <v>45059</v>
      </c>
      <c r="D65" s="33">
        <v>27.54</v>
      </c>
      <c r="E65" s="33">
        <v>29.6</v>
      </c>
      <c r="F65" s="33">
        <v>8.4</v>
      </c>
      <c r="G65" s="33">
        <v>21.71</v>
      </c>
      <c r="H65" s="33">
        <v>291.75</v>
      </c>
    </row>
    <row r="66" spans="1:8" ht="15.75" customHeight="1" x14ac:dyDescent="0.5">
      <c r="A66" s="31">
        <v>65</v>
      </c>
      <c r="B66" s="31">
        <f t="shared" ref="B66:B129" si="2">WEEKDAY(C66,2)</f>
        <v>7</v>
      </c>
      <c r="C66" s="73">
        <f t="shared" ref="C66:C129" si="3">+C67-1</f>
        <v>45060</v>
      </c>
      <c r="D66" s="33">
        <v>27.22</v>
      </c>
      <c r="E66" s="33">
        <v>42.8</v>
      </c>
      <c r="F66" s="33">
        <v>28.9</v>
      </c>
      <c r="G66" s="33">
        <v>22.949999999999996</v>
      </c>
      <c r="H66" s="33">
        <v>187</v>
      </c>
    </row>
    <row r="67" spans="1:8" ht="15.75" customHeight="1" x14ac:dyDescent="0.5">
      <c r="A67" s="31">
        <v>66</v>
      </c>
      <c r="B67" s="31">
        <f t="shared" si="2"/>
        <v>1</v>
      </c>
      <c r="C67" s="73">
        <f t="shared" si="3"/>
        <v>45061</v>
      </c>
      <c r="D67" s="33">
        <v>21.8</v>
      </c>
      <c r="E67" s="33">
        <v>9.3000000000000007</v>
      </c>
      <c r="F67" s="33">
        <v>0.9</v>
      </c>
      <c r="G67" s="33">
        <v>11.190000000000001</v>
      </c>
      <c r="H67" s="33">
        <v>109</v>
      </c>
    </row>
    <row r="68" spans="1:8" ht="15.75" customHeight="1" x14ac:dyDescent="0.5">
      <c r="A68" s="31">
        <v>67</v>
      </c>
      <c r="B68" s="31">
        <f t="shared" si="2"/>
        <v>2</v>
      </c>
      <c r="C68" s="73">
        <f t="shared" si="3"/>
        <v>45062</v>
      </c>
      <c r="D68" s="33">
        <v>15.3</v>
      </c>
      <c r="E68" s="33">
        <v>24.6</v>
      </c>
      <c r="F68" s="33">
        <v>2.2000000000000002</v>
      </c>
      <c r="G68" s="33">
        <v>14.57</v>
      </c>
      <c r="H68" s="33">
        <v>104</v>
      </c>
    </row>
    <row r="69" spans="1:8" ht="15.75" customHeight="1" x14ac:dyDescent="0.5">
      <c r="A69" s="31">
        <v>68</v>
      </c>
      <c r="B69" s="31">
        <f t="shared" si="2"/>
        <v>3</v>
      </c>
      <c r="C69" s="73">
        <f t="shared" si="3"/>
        <v>45063</v>
      </c>
      <c r="D69" s="33">
        <v>30.860000000000003</v>
      </c>
      <c r="E69" s="33">
        <v>14.5</v>
      </c>
      <c r="F69" s="33">
        <v>10.199999999999999</v>
      </c>
      <c r="G69" s="33">
        <v>17.100000000000001</v>
      </c>
      <c r="H69" s="33">
        <v>135</v>
      </c>
    </row>
    <row r="70" spans="1:8" ht="15.75" customHeight="1" x14ac:dyDescent="0.5">
      <c r="A70" s="31">
        <v>69</v>
      </c>
      <c r="B70" s="31">
        <f t="shared" si="2"/>
        <v>4</v>
      </c>
      <c r="C70" s="73">
        <f t="shared" si="3"/>
        <v>45064</v>
      </c>
      <c r="D70" s="33">
        <v>51.480000000000004</v>
      </c>
      <c r="E70" s="33">
        <v>27.5</v>
      </c>
      <c r="F70" s="33">
        <v>11</v>
      </c>
      <c r="G70" s="33">
        <v>33.090000000000003</v>
      </c>
      <c r="H70" s="33">
        <v>196</v>
      </c>
    </row>
    <row r="71" spans="1:8" ht="15.75" customHeight="1" x14ac:dyDescent="0.5">
      <c r="A71" s="31">
        <v>70</v>
      </c>
      <c r="B71" s="31">
        <f t="shared" si="2"/>
        <v>5</v>
      </c>
      <c r="C71" s="73">
        <f t="shared" si="3"/>
        <v>45065</v>
      </c>
      <c r="D71" s="33">
        <v>48.36</v>
      </c>
      <c r="E71" s="33">
        <v>43.9</v>
      </c>
      <c r="F71" s="33">
        <v>27.2</v>
      </c>
      <c r="G71" s="33">
        <v>32.749999999999993</v>
      </c>
      <c r="H71" s="33">
        <v>229</v>
      </c>
    </row>
    <row r="72" spans="1:8" ht="15.75" customHeight="1" x14ac:dyDescent="0.5">
      <c r="A72" s="31">
        <v>71</v>
      </c>
      <c r="B72" s="31">
        <f t="shared" si="2"/>
        <v>6</v>
      </c>
      <c r="C72" s="73">
        <f t="shared" si="3"/>
        <v>45066</v>
      </c>
      <c r="D72" s="33">
        <v>44.82</v>
      </c>
      <c r="E72" s="33">
        <v>30.6</v>
      </c>
      <c r="F72" s="33">
        <v>38.700000000000003</v>
      </c>
      <c r="G72" s="33">
        <v>19.729999999999997</v>
      </c>
      <c r="H72" s="33">
        <v>196</v>
      </c>
    </row>
    <row r="73" spans="1:8" ht="15.75" customHeight="1" x14ac:dyDescent="0.5">
      <c r="A73" s="31">
        <v>72</v>
      </c>
      <c r="B73" s="31">
        <f t="shared" si="2"/>
        <v>7</v>
      </c>
      <c r="C73" s="73">
        <f t="shared" si="3"/>
        <v>45067</v>
      </c>
      <c r="D73" s="33">
        <v>29.96</v>
      </c>
      <c r="E73" s="33">
        <v>14.3</v>
      </c>
      <c r="F73" s="33">
        <v>31.7</v>
      </c>
      <c r="G73" s="33">
        <v>5.4500000000000028</v>
      </c>
      <c r="H73" s="33">
        <v>129</v>
      </c>
    </row>
    <row r="74" spans="1:8" ht="15.75" customHeight="1" x14ac:dyDescent="0.5">
      <c r="A74" s="31">
        <v>73</v>
      </c>
      <c r="B74" s="31">
        <f t="shared" si="2"/>
        <v>1</v>
      </c>
      <c r="C74" s="73">
        <f t="shared" si="3"/>
        <v>45068</v>
      </c>
      <c r="D74" s="33">
        <v>15.36</v>
      </c>
      <c r="E74" s="33">
        <v>33</v>
      </c>
      <c r="F74" s="33">
        <v>19.3</v>
      </c>
      <c r="G74" s="33">
        <v>11.459999999999999</v>
      </c>
      <c r="H74" s="33">
        <v>106</v>
      </c>
    </row>
    <row r="75" spans="1:8" ht="15.75" customHeight="1" x14ac:dyDescent="0.5">
      <c r="A75" s="31">
        <v>74</v>
      </c>
      <c r="B75" s="31">
        <f t="shared" si="2"/>
        <v>2</v>
      </c>
      <c r="C75" s="73">
        <f t="shared" si="3"/>
        <v>45069</v>
      </c>
      <c r="D75" s="33">
        <v>28.880000000000003</v>
      </c>
      <c r="E75" s="33">
        <v>5.7</v>
      </c>
      <c r="F75" s="33">
        <v>31.3</v>
      </c>
      <c r="G75" s="33">
        <v>3.2699999999999996</v>
      </c>
      <c r="H75" s="33">
        <v>117</v>
      </c>
    </row>
    <row r="76" spans="1:8" ht="15.75" customHeight="1" x14ac:dyDescent="0.5">
      <c r="A76" s="31">
        <v>75</v>
      </c>
      <c r="B76" s="31">
        <f t="shared" si="2"/>
        <v>3</v>
      </c>
      <c r="C76" s="73">
        <f t="shared" si="3"/>
        <v>45070</v>
      </c>
      <c r="D76" s="33">
        <v>50.68</v>
      </c>
      <c r="E76" s="33">
        <v>0</v>
      </c>
      <c r="F76" s="33">
        <v>13.1</v>
      </c>
      <c r="G76" s="33">
        <v>28.4</v>
      </c>
      <c r="H76" s="33">
        <v>187</v>
      </c>
    </row>
    <row r="77" spans="1:8" ht="15.75" customHeight="1" x14ac:dyDescent="0.5">
      <c r="A77" s="31">
        <v>76</v>
      </c>
      <c r="B77" s="31">
        <f t="shared" si="2"/>
        <v>4</v>
      </c>
      <c r="C77" s="73">
        <f t="shared" si="3"/>
        <v>45071</v>
      </c>
      <c r="D77" s="33">
        <v>12.379999999999999</v>
      </c>
      <c r="E77" s="33">
        <v>43.7</v>
      </c>
      <c r="F77" s="33">
        <v>89.4</v>
      </c>
      <c r="G77" s="33">
        <v>7.7799999999999976</v>
      </c>
      <c r="H77" s="33">
        <v>105</v>
      </c>
    </row>
    <row r="78" spans="1:8" ht="15.75" customHeight="1" x14ac:dyDescent="0.5">
      <c r="A78" s="31">
        <v>77</v>
      </c>
      <c r="B78" s="31">
        <f t="shared" si="2"/>
        <v>5</v>
      </c>
      <c r="C78" s="73">
        <f t="shared" si="3"/>
        <v>45072</v>
      </c>
      <c r="D78" s="33">
        <v>13.5</v>
      </c>
      <c r="E78" s="33">
        <v>1.6</v>
      </c>
      <c r="F78" s="33">
        <v>20.7</v>
      </c>
      <c r="G78" s="33">
        <v>15.27</v>
      </c>
      <c r="H78" s="33">
        <v>83</v>
      </c>
    </row>
    <row r="79" spans="1:8" ht="15.75" customHeight="1" x14ac:dyDescent="0.5">
      <c r="A79" s="31">
        <v>78</v>
      </c>
      <c r="B79" s="31">
        <f t="shared" si="2"/>
        <v>6</v>
      </c>
      <c r="C79" s="73">
        <f t="shared" si="3"/>
        <v>45073</v>
      </c>
      <c r="D79" s="33">
        <v>25.1</v>
      </c>
      <c r="E79" s="33">
        <v>28.5</v>
      </c>
      <c r="F79" s="33">
        <v>14.2</v>
      </c>
      <c r="G79" s="33">
        <v>20.62</v>
      </c>
      <c r="H79" s="33">
        <v>149</v>
      </c>
    </row>
    <row r="80" spans="1:8" ht="15.75" customHeight="1" x14ac:dyDescent="0.5">
      <c r="A80" s="31">
        <v>79</v>
      </c>
      <c r="B80" s="31">
        <f t="shared" si="2"/>
        <v>7</v>
      </c>
      <c r="C80" s="73">
        <f t="shared" si="3"/>
        <v>45074</v>
      </c>
      <c r="D80" s="33">
        <v>8.08</v>
      </c>
      <c r="E80" s="33">
        <v>29.9</v>
      </c>
      <c r="F80" s="33">
        <v>9.4</v>
      </c>
      <c r="G80" s="33">
        <v>11.729999999999999</v>
      </c>
      <c r="H80" s="33">
        <v>62</v>
      </c>
    </row>
    <row r="81" spans="1:8" ht="15.75" customHeight="1" x14ac:dyDescent="0.5">
      <c r="A81" s="31">
        <v>80</v>
      </c>
      <c r="B81" s="31">
        <f t="shared" si="2"/>
        <v>1</v>
      </c>
      <c r="C81" s="73">
        <f t="shared" si="3"/>
        <v>45075</v>
      </c>
      <c r="D81" s="33">
        <v>31.2</v>
      </c>
      <c r="E81" s="33">
        <v>7.7</v>
      </c>
      <c r="F81" s="33">
        <v>23.1</v>
      </c>
      <c r="G81" s="33">
        <v>6.2099999999999991</v>
      </c>
      <c r="H81" s="33">
        <v>120</v>
      </c>
    </row>
    <row r="82" spans="1:8" ht="15.75" customHeight="1" x14ac:dyDescent="0.5">
      <c r="A82" s="31">
        <v>81</v>
      </c>
      <c r="B82" s="31">
        <f t="shared" si="2"/>
        <v>2</v>
      </c>
      <c r="C82" s="73">
        <f t="shared" si="3"/>
        <v>45076</v>
      </c>
      <c r="D82" s="33">
        <v>19.28</v>
      </c>
      <c r="E82" s="33">
        <v>26.7</v>
      </c>
      <c r="F82" s="33">
        <v>22.3</v>
      </c>
      <c r="G82" s="33">
        <v>12.070000000000002</v>
      </c>
      <c r="H82" s="33">
        <v>120</v>
      </c>
    </row>
    <row r="83" spans="1:8" ht="15.75" customHeight="1" x14ac:dyDescent="0.5">
      <c r="A83" s="31">
        <v>82</v>
      </c>
      <c r="B83" s="31">
        <f t="shared" si="2"/>
        <v>3</v>
      </c>
      <c r="C83" s="73">
        <f t="shared" si="3"/>
        <v>45077</v>
      </c>
      <c r="D83" s="33">
        <v>96.179999999999993</v>
      </c>
      <c r="E83" s="33">
        <v>4.0999999999999996</v>
      </c>
      <c r="F83" s="33">
        <v>36.9</v>
      </c>
      <c r="G83" s="33">
        <v>11.270000000000001</v>
      </c>
      <c r="H83" s="33">
        <v>128</v>
      </c>
    </row>
    <row r="84" spans="1:8" ht="15.75" customHeight="1" x14ac:dyDescent="0.5">
      <c r="A84" s="31">
        <v>83</v>
      </c>
      <c r="B84" s="31">
        <f t="shared" si="2"/>
        <v>4</v>
      </c>
      <c r="C84" s="73">
        <f t="shared" si="3"/>
        <v>45078</v>
      </c>
      <c r="D84" s="33">
        <v>18.059999999999999</v>
      </c>
      <c r="E84" s="33">
        <v>20.3</v>
      </c>
      <c r="F84" s="33">
        <v>32.5</v>
      </c>
      <c r="G84" s="33">
        <v>4.68</v>
      </c>
      <c r="H84" s="33">
        <v>128</v>
      </c>
    </row>
    <row r="85" spans="1:8" ht="15.75" customHeight="1" x14ac:dyDescent="0.5">
      <c r="A85" s="31">
        <v>84</v>
      </c>
      <c r="B85" s="31">
        <f t="shared" si="2"/>
        <v>5</v>
      </c>
      <c r="C85" s="73">
        <f t="shared" si="3"/>
        <v>45079</v>
      </c>
      <c r="D85" s="33">
        <v>22.68</v>
      </c>
      <c r="E85" s="33">
        <v>44.5</v>
      </c>
      <c r="F85" s="33">
        <v>35.6</v>
      </c>
      <c r="G85" s="33">
        <v>14.849999999999998</v>
      </c>
      <c r="H85" s="33">
        <v>149</v>
      </c>
    </row>
    <row r="86" spans="1:8" ht="15.75" customHeight="1" x14ac:dyDescent="0.5">
      <c r="A86" s="31">
        <v>85</v>
      </c>
      <c r="B86" s="31">
        <f t="shared" si="2"/>
        <v>6</v>
      </c>
      <c r="C86" s="73">
        <f t="shared" si="3"/>
        <v>45080</v>
      </c>
      <c r="D86" s="33">
        <v>45.7</v>
      </c>
      <c r="E86" s="33">
        <v>43</v>
      </c>
      <c r="F86" s="33">
        <v>33.799999999999997</v>
      </c>
      <c r="G86" s="33">
        <v>29.330000000000002</v>
      </c>
      <c r="H86" s="33">
        <v>223</v>
      </c>
    </row>
    <row r="87" spans="1:8" ht="15.75" customHeight="1" x14ac:dyDescent="0.5">
      <c r="A87" s="31">
        <v>86</v>
      </c>
      <c r="B87" s="31">
        <f t="shared" si="2"/>
        <v>7</v>
      </c>
      <c r="C87" s="73">
        <f t="shared" si="3"/>
        <v>45081</v>
      </c>
      <c r="D87" s="33">
        <v>42.64</v>
      </c>
      <c r="E87" s="33">
        <v>18.399999999999999</v>
      </c>
      <c r="F87" s="33">
        <v>65.7</v>
      </c>
      <c r="G87" s="33">
        <v>2.2399999999999984</v>
      </c>
      <c r="H87" s="33">
        <v>159</v>
      </c>
    </row>
    <row r="88" spans="1:8" ht="15.75" customHeight="1" x14ac:dyDescent="0.5">
      <c r="A88" s="31">
        <v>87</v>
      </c>
      <c r="B88" s="31">
        <f t="shared" si="2"/>
        <v>1</v>
      </c>
      <c r="C88" s="73">
        <f t="shared" si="3"/>
        <v>45082</v>
      </c>
      <c r="D88" s="33">
        <v>21.259999999999998</v>
      </c>
      <c r="E88" s="33">
        <v>27.5</v>
      </c>
      <c r="F88" s="33">
        <v>16</v>
      </c>
      <c r="G88" s="33">
        <v>14.979999999999999</v>
      </c>
      <c r="H88" s="33">
        <v>122</v>
      </c>
    </row>
    <row r="89" spans="1:8" ht="15.75" customHeight="1" x14ac:dyDescent="0.5">
      <c r="A89" s="31">
        <v>88</v>
      </c>
      <c r="B89" s="31">
        <f t="shared" si="2"/>
        <v>2</v>
      </c>
      <c r="C89" s="73">
        <f t="shared" si="3"/>
        <v>45083</v>
      </c>
      <c r="D89" s="33">
        <v>28.14</v>
      </c>
      <c r="E89" s="33">
        <v>40.6</v>
      </c>
      <c r="F89" s="33">
        <v>63.2</v>
      </c>
      <c r="G89" s="33">
        <v>6.09</v>
      </c>
      <c r="H89" s="33">
        <v>180</v>
      </c>
    </row>
    <row r="90" spans="1:8" ht="15.75" customHeight="1" x14ac:dyDescent="0.5">
      <c r="A90" s="31">
        <v>89</v>
      </c>
      <c r="B90" s="31">
        <f t="shared" si="2"/>
        <v>3</v>
      </c>
      <c r="C90" s="73">
        <f t="shared" si="3"/>
        <v>45084</v>
      </c>
      <c r="D90" s="33">
        <v>27.66</v>
      </c>
      <c r="E90" s="33">
        <v>76.949999999999989</v>
      </c>
      <c r="F90" s="33">
        <v>73.400000000000006</v>
      </c>
      <c r="G90" s="33">
        <v>12.219999999999995</v>
      </c>
      <c r="H90" s="33">
        <v>147</v>
      </c>
    </row>
    <row r="91" spans="1:8" ht="15.75" customHeight="1" x14ac:dyDescent="0.5">
      <c r="A91" s="31">
        <v>90</v>
      </c>
      <c r="B91" s="31">
        <f t="shared" si="2"/>
        <v>4</v>
      </c>
      <c r="C91" s="73">
        <f t="shared" si="3"/>
        <v>45085</v>
      </c>
      <c r="D91" s="33">
        <v>23.96</v>
      </c>
      <c r="E91" s="33">
        <v>47.8</v>
      </c>
      <c r="F91" s="33">
        <v>51.4</v>
      </c>
      <c r="G91" s="33">
        <v>14.319999999999993</v>
      </c>
      <c r="H91" s="33">
        <v>177</v>
      </c>
    </row>
    <row r="92" spans="1:8" ht="15.75" customHeight="1" x14ac:dyDescent="0.5">
      <c r="A92" s="31">
        <v>91</v>
      </c>
      <c r="B92" s="31">
        <f t="shared" si="2"/>
        <v>5</v>
      </c>
      <c r="C92" s="73">
        <f t="shared" si="3"/>
        <v>45086</v>
      </c>
      <c r="D92" s="33">
        <v>31.860000000000003</v>
      </c>
      <c r="E92" s="33">
        <v>4.9000000000000004</v>
      </c>
      <c r="F92" s="33">
        <v>9.3000000000000007</v>
      </c>
      <c r="G92" s="33">
        <v>12.160000000000002</v>
      </c>
      <c r="H92" s="33">
        <v>93</v>
      </c>
    </row>
    <row r="93" spans="1:8" ht="15.75" customHeight="1" x14ac:dyDescent="0.5">
      <c r="A93" s="31">
        <v>92</v>
      </c>
      <c r="B93" s="31">
        <f t="shared" si="2"/>
        <v>6</v>
      </c>
      <c r="C93" s="73">
        <f t="shared" si="3"/>
        <v>45087</v>
      </c>
      <c r="D93" s="33">
        <v>14.72</v>
      </c>
      <c r="E93" s="33">
        <v>1.5</v>
      </c>
      <c r="F93" s="33">
        <v>33</v>
      </c>
      <c r="G93" s="33">
        <v>10.41</v>
      </c>
      <c r="H93" s="33">
        <v>74</v>
      </c>
    </row>
    <row r="94" spans="1:8" ht="15.75" customHeight="1" x14ac:dyDescent="0.5">
      <c r="A94" s="31">
        <v>93</v>
      </c>
      <c r="B94" s="31">
        <f t="shared" si="2"/>
        <v>7</v>
      </c>
      <c r="C94" s="73">
        <f t="shared" si="3"/>
        <v>45088</v>
      </c>
      <c r="D94" s="33">
        <v>47.54</v>
      </c>
      <c r="E94" s="33">
        <v>33.5</v>
      </c>
      <c r="F94" s="33">
        <v>59</v>
      </c>
      <c r="G94" s="33">
        <v>14.919999999999995</v>
      </c>
      <c r="H94" s="33">
        <v>291.75</v>
      </c>
    </row>
    <row r="95" spans="1:8" ht="15.75" customHeight="1" x14ac:dyDescent="0.5">
      <c r="A95" s="31">
        <v>94</v>
      </c>
      <c r="B95" s="31">
        <f t="shared" si="2"/>
        <v>1</v>
      </c>
      <c r="C95" s="73">
        <f t="shared" si="3"/>
        <v>45089</v>
      </c>
      <c r="D95" s="33">
        <v>56.18</v>
      </c>
      <c r="E95" s="33">
        <v>36.5</v>
      </c>
      <c r="F95" s="33">
        <v>72.3</v>
      </c>
      <c r="G95" s="33">
        <v>14.420000000000002</v>
      </c>
      <c r="H95" s="33">
        <v>225</v>
      </c>
    </row>
    <row r="96" spans="1:8" ht="15.75" customHeight="1" x14ac:dyDescent="0.5">
      <c r="A96" s="31">
        <v>95</v>
      </c>
      <c r="B96" s="31">
        <f t="shared" si="2"/>
        <v>2</v>
      </c>
      <c r="C96" s="73">
        <f t="shared" si="3"/>
        <v>45090</v>
      </c>
      <c r="D96" s="33">
        <v>30.48</v>
      </c>
      <c r="E96" s="33">
        <v>14</v>
      </c>
      <c r="F96" s="33">
        <v>10.9</v>
      </c>
      <c r="G96" s="33">
        <v>13.380000000000003</v>
      </c>
      <c r="H96" s="33">
        <v>117</v>
      </c>
    </row>
    <row r="97" spans="1:8" ht="15.75" customHeight="1" x14ac:dyDescent="0.5">
      <c r="A97" s="31">
        <v>96</v>
      </c>
      <c r="B97" s="31">
        <f t="shared" si="2"/>
        <v>3</v>
      </c>
      <c r="C97" s="73">
        <f t="shared" si="3"/>
        <v>45091</v>
      </c>
      <c r="D97" s="33">
        <v>40.660000000000004</v>
      </c>
      <c r="E97" s="33">
        <v>31.6</v>
      </c>
      <c r="F97" s="33">
        <v>52.9</v>
      </c>
      <c r="G97" s="33">
        <v>10.970000000000002</v>
      </c>
      <c r="H97" s="33">
        <v>175</v>
      </c>
    </row>
    <row r="98" spans="1:8" ht="15.75" customHeight="1" x14ac:dyDescent="0.5">
      <c r="A98" s="31">
        <v>97</v>
      </c>
      <c r="B98" s="31">
        <f t="shared" si="2"/>
        <v>4</v>
      </c>
      <c r="C98" s="73">
        <f t="shared" si="3"/>
        <v>45092</v>
      </c>
      <c r="D98" s="33">
        <v>46.519999999999996</v>
      </c>
      <c r="E98" s="33">
        <v>3.5</v>
      </c>
      <c r="F98" s="33">
        <v>5.9</v>
      </c>
      <c r="G98" s="33">
        <v>19.149999999999999</v>
      </c>
      <c r="H98" s="33">
        <v>132</v>
      </c>
    </row>
    <row r="99" spans="1:8" ht="15.75" customHeight="1" x14ac:dyDescent="0.5">
      <c r="A99" s="31">
        <v>98</v>
      </c>
      <c r="B99" s="31">
        <f t="shared" si="2"/>
        <v>5</v>
      </c>
      <c r="C99" s="73">
        <f t="shared" si="3"/>
        <v>45093</v>
      </c>
      <c r="D99" s="33">
        <v>41.980000000000004</v>
      </c>
      <c r="E99" s="33">
        <v>21</v>
      </c>
      <c r="F99" s="33">
        <v>22</v>
      </c>
      <c r="G99" s="33">
        <v>20.190000000000001</v>
      </c>
      <c r="H99" s="33">
        <v>168</v>
      </c>
    </row>
    <row r="100" spans="1:8" ht="15.75" customHeight="1" x14ac:dyDescent="0.5">
      <c r="A100" s="31">
        <v>99</v>
      </c>
      <c r="B100" s="31">
        <f t="shared" si="2"/>
        <v>6</v>
      </c>
      <c r="C100" s="73">
        <f t="shared" si="3"/>
        <v>45094</v>
      </c>
      <c r="D100" s="33">
        <v>64.94</v>
      </c>
      <c r="E100" s="33">
        <v>42.3</v>
      </c>
      <c r="F100" s="33">
        <v>51.2</v>
      </c>
      <c r="G100" s="33">
        <v>29.639999999999993</v>
      </c>
      <c r="H100" s="33">
        <v>257</v>
      </c>
    </row>
    <row r="101" spans="1:8" ht="15.75" customHeight="1" x14ac:dyDescent="0.5">
      <c r="A101" s="31">
        <v>100</v>
      </c>
      <c r="B101" s="31">
        <f t="shared" si="2"/>
        <v>7</v>
      </c>
      <c r="C101" s="73">
        <f t="shared" si="3"/>
        <v>45095</v>
      </c>
      <c r="D101" s="33">
        <v>28.04</v>
      </c>
      <c r="E101" s="33">
        <v>41.7</v>
      </c>
      <c r="F101" s="33">
        <v>45.9</v>
      </c>
      <c r="G101" s="33">
        <v>16.010000000000005</v>
      </c>
      <c r="H101" s="33">
        <v>183</v>
      </c>
    </row>
    <row r="102" spans="1:8" ht="15.75" customHeight="1" x14ac:dyDescent="0.5">
      <c r="A102" s="31">
        <v>101</v>
      </c>
      <c r="B102" s="31">
        <f t="shared" si="2"/>
        <v>1</v>
      </c>
      <c r="C102" s="73">
        <f t="shared" si="3"/>
        <v>45096</v>
      </c>
      <c r="D102" s="33">
        <v>51.480000000000004</v>
      </c>
      <c r="E102" s="33">
        <v>4.3</v>
      </c>
      <c r="F102" s="33">
        <v>49.8</v>
      </c>
      <c r="G102" s="33">
        <v>4.4699999999999989</v>
      </c>
      <c r="H102" s="33">
        <v>137</v>
      </c>
    </row>
    <row r="103" spans="1:8" ht="15.75" customHeight="1" x14ac:dyDescent="0.5">
      <c r="A103" s="31">
        <v>102</v>
      </c>
      <c r="B103" s="31">
        <f t="shared" si="2"/>
        <v>2</v>
      </c>
      <c r="C103" s="73">
        <f t="shared" si="3"/>
        <v>45097</v>
      </c>
      <c r="D103" s="33">
        <v>63.279999999999994</v>
      </c>
      <c r="E103" s="33">
        <v>36.299999999999997</v>
      </c>
      <c r="F103" s="33">
        <v>93.625</v>
      </c>
      <c r="G103" s="33">
        <v>10.339999999999989</v>
      </c>
      <c r="H103" s="33">
        <v>254</v>
      </c>
    </row>
    <row r="104" spans="1:8" ht="15.75" customHeight="1" x14ac:dyDescent="0.5">
      <c r="A104" s="31">
        <v>103</v>
      </c>
      <c r="B104" s="31">
        <f t="shared" si="2"/>
        <v>3</v>
      </c>
      <c r="C104" s="73">
        <f t="shared" si="3"/>
        <v>45098</v>
      </c>
      <c r="D104" s="33">
        <v>64.039999999999992</v>
      </c>
      <c r="E104" s="33">
        <v>10.1</v>
      </c>
      <c r="F104" s="33">
        <v>21.4</v>
      </c>
      <c r="G104" s="33">
        <v>24.509999999999998</v>
      </c>
      <c r="H104" s="33">
        <v>158</v>
      </c>
    </row>
    <row r="105" spans="1:8" ht="15.75" customHeight="1" x14ac:dyDescent="0.5">
      <c r="A105" s="31">
        <v>104</v>
      </c>
      <c r="B105" s="31">
        <f t="shared" si="2"/>
        <v>4</v>
      </c>
      <c r="C105" s="73">
        <f t="shared" si="3"/>
        <v>45099</v>
      </c>
      <c r="D105" s="33">
        <v>38.58</v>
      </c>
      <c r="E105" s="33">
        <v>17.2</v>
      </c>
      <c r="F105" s="33">
        <v>17.899999999999999</v>
      </c>
      <c r="G105" s="33">
        <v>20.23</v>
      </c>
      <c r="H105" s="33">
        <v>163</v>
      </c>
    </row>
    <row r="106" spans="1:8" ht="15.75" customHeight="1" x14ac:dyDescent="0.5">
      <c r="A106" s="31">
        <v>105</v>
      </c>
      <c r="B106" s="31">
        <f t="shared" si="2"/>
        <v>5</v>
      </c>
      <c r="C106" s="73">
        <f t="shared" si="3"/>
        <v>45100</v>
      </c>
      <c r="D106" s="33">
        <v>54.64</v>
      </c>
      <c r="E106" s="33">
        <v>34.299999999999997</v>
      </c>
      <c r="F106" s="33">
        <v>5.3</v>
      </c>
      <c r="G106" s="33">
        <v>38.85</v>
      </c>
      <c r="H106" s="33">
        <v>208</v>
      </c>
    </row>
    <row r="107" spans="1:8" ht="15.75" customHeight="1" x14ac:dyDescent="0.5">
      <c r="A107" s="31">
        <v>106</v>
      </c>
      <c r="B107" s="31">
        <f t="shared" si="2"/>
        <v>6</v>
      </c>
      <c r="C107" s="73">
        <f t="shared" si="3"/>
        <v>45101</v>
      </c>
      <c r="D107" s="33">
        <v>37.58</v>
      </c>
      <c r="E107" s="33">
        <v>46.4</v>
      </c>
      <c r="F107" s="33">
        <v>59</v>
      </c>
      <c r="G107" s="33">
        <v>13.39</v>
      </c>
      <c r="H107" s="33">
        <v>196</v>
      </c>
    </row>
    <row r="108" spans="1:8" ht="15.75" customHeight="1" x14ac:dyDescent="0.5">
      <c r="A108" s="31">
        <v>107</v>
      </c>
      <c r="B108" s="31">
        <f t="shared" si="2"/>
        <v>7</v>
      </c>
      <c r="C108" s="73">
        <f t="shared" si="3"/>
        <v>45102</v>
      </c>
      <c r="D108" s="33">
        <v>8</v>
      </c>
      <c r="E108" s="33">
        <v>11</v>
      </c>
      <c r="F108" s="33">
        <v>29.7</v>
      </c>
      <c r="G108" s="33">
        <v>16.119999999999997</v>
      </c>
      <c r="H108" s="33">
        <v>86</v>
      </c>
    </row>
    <row r="109" spans="1:8" ht="15.75" customHeight="1" x14ac:dyDescent="0.5">
      <c r="A109" s="31">
        <v>108</v>
      </c>
      <c r="B109" s="31">
        <f t="shared" si="2"/>
        <v>1</v>
      </c>
      <c r="C109" s="73">
        <f t="shared" si="3"/>
        <v>45103</v>
      </c>
      <c r="D109" s="33">
        <v>27.080000000000002</v>
      </c>
      <c r="E109" s="33">
        <v>0.3</v>
      </c>
      <c r="F109" s="33">
        <v>23.2</v>
      </c>
      <c r="G109" s="33">
        <v>19.910000000000004</v>
      </c>
      <c r="H109" s="33">
        <v>104</v>
      </c>
    </row>
    <row r="110" spans="1:8" ht="15.75" customHeight="1" x14ac:dyDescent="0.5">
      <c r="A110" s="31">
        <v>109</v>
      </c>
      <c r="B110" s="31">
        <f t="shared" si="2"/>
        <v>2</v>
      </c>
      <c r="C110" s="73">
        <f t="shared" si="3"/>
        <v>45104</v>
      </c>
      <c r="D110" s="33">
        <v>9.620000000000001</v>
      </c>
      <c r="E110" s="33">
        <v>0.4</v>
      </c>
      <c r="F110" s="33">
        <v>25.6</v>
      </c>
      <c r="G110" s="33">
        <v>11.269999999999998</v>
      </c>
      <c r="H110" s="33">
        <v>54</v>
      </c>
    </row>
    <row r="111" spans="1:8" ht="15.75" customHeight="1" x14ac:dyDescent="0.5">
      <c r="A111" s="31">
        <v>110</v>
      </c>
      <c r="B111" s="31">
        <f t="shared" si="2"/>
        <v>3</v>
      </c>
      <c r="C111" s="73">
        <f t="shared" si="3"/>
        <v>45105</v>
      </c>
      <c r="D111" s="33">
        <v>53.08</v>
      </c>
      <c r="E111" s="33">
        <v>26.9</v>
      </c>
      <c r="F111" s="33">
        <v>5.5</v>
      </c>
      <c r="G111" s="33">
        <v>36.789999999999992</v>
      </c>
      <c r="H111" s="33">
        <v>140.72222222222223</v>
      </c>
    </row>
    <row r="112" spans="1:8" ht="15.75" customHeight="1" x14ac:dyDescent="0.5">
      <c r="A112" s="31">
        <v>111</v>
      </c>
      <c r="B112" s="31">
        <f t="shared" si="2"/>
        <v>4</v>
      </c>
      <c r="C112" s="73">
        <f t="shared" si="3"/>
        <v>45106</v>
      </c>
      <c r="D112" s="33">
        <v>54.160000000000004</v>
      </c>
      <c r="E112" s="33">
        <v>8.1999999999999993</v>
      </c>
      <c r="F112" s="33">
        <v>56.5</v>
      </c>
      <c r="G112" s="33">
        <v>4.0799999999999983</v>
      </c>
      <c r="H112" s="33">
        <v>150</v>
      </c>
    </row>
    <row r="113" spans="1:8" ht="15.75" customHeight="1" x14ac:dyDescent="0.5">
      <c r="A113" s="31">
        <v>112</v>
      </c>
      <c r="B113" s="31">
        <f t="shared" si="2"/>
        <v>5</v>
      </c>
      <c r="C113" s="73">
        <f t="shared" si="3"/>
        <v>45107</v>
      </c>
      <c r="D113" s="33">
        <v>55.339999999999996</v>
      </c>
      <c r="E113" s="33">
        <v>38</v>
      </c>
      <c r="F113" s="33">
        <v>23.2</v>
      </c>
      <c r="G113" s="33">
        <v>33.89</v>
      </c>
      <c r="H113" s="33">
        <v>221</v>
      </c>
    </row>
    <row r="114" spans="1:8" ht="15.75" customHeight="1" x14ac:dyDescent="0.5">
      <c r="A114" s="31">
        <v>113</v>
      </c>
      <c r="B114" s="31">
        <f t="shared" si="2"/>
        <v>6</v>
      </c>
      <c r="C114" s="73">
        <f t="shared" si="3"/>
        <v>45108</v>
      </c>
      <c r="D114" s="33">
        <v>39.14</v>
      </c>
      <c r="E114" s="33">
        <v>15.4</v>
      </c>
      <c r="F114" s="33">
        <v>2.4</v>
      </c>
      <c r="G114" s="33">
        <v>24.31</v>
      </c>
      <c r="H114" s="33">
        <v>159</v>
      </c>
    </row>
    <row r="115" spans="1:8" ht="15.75" customHeight="1" x14ac:dyDescent="0.5">
      <c r="A115" s="31">
        <v>114</v>
      </c>
      <c r="B115" s="31">
        <f t="shared" si="2"/>
        <v>7</v>
      </c>
      <c r="C115" s="73">
        <f t="shared" si="3"/>
        <v>45109</v>
      </c>
      <c r="D115" s="33">
        <v>44.92</v>
      </c>
      <c r="E115" s="33">
        <v>20.6</v>
      </c>
      <c r="F115" s="33">
        <v>10.7</v>
      </c>
      <c r="G115" s="33">
        <v>26.98</v>
      </c>
      <c r="H115" s="33">
        <v>167</v>
      </c>
    </row>
    <row r="116" spans="1:8" ht="15.75" customHeight="1" x14ac:dyDescent="0.5">
      <c r="A116" s="31">
        <v>115</v>
      </c>
      <c r="B116" s="31">
        <f t="shared" si="2"/>
        <v>1</v>
      </c>
      <c r="C116" s="73">
        <f t="shared" si="3"/>
        <v>45110</v>
      </c>
      <c r="D116" s="33">
        <v>18.64</v>
      </c>
      <c r="E116" s="33">
        <v>46.8</v>
      </c>
      <c r="F116" s="33">
        <v>34.5</v>
      </c>
      <c r="G116" s="33">
        <v>17.419999999999998</v>
      </c>
      <c r="H116" s="33">
        <v>152</v>
      </c>
    </row>
    <row r="117" spans="1:8" ht="15.75" customHeight="1" x14ac:dyDescent="0.5">
      <c r="A117" s="31">
        <v>116</v>
      </c>
      <c r="B117" s="31">
        <f t="shared" si="2"/>
        <v>2</v>
      </c>
      <c r="C117" s="73">
        <f t="shared" si="3"/>
        <v>45111</v>
      </c>
      <c r="D117" s="33">
        <v>24.02</v>
      </c>
      <c r="E117" s="33">
        <v>35</v>
      </c>
      <c r="F117" s="33">
        <v>52.7</v>
      </c>
      <c r="G117" s="33">
        <v>3.9299999999999962</v>
      </c>
      <c r="H117" s="33">
        <v>133</v>
      </c>
    </row>
    <row r="118" spans="1:8" ht="15.75" customHeight="1" x14ac:dyDescent="0.5">
      <c r="A118" s="31">
        <v>117</v>
      </c>
      <c r="B118" s="31">
        <f t="shared" si="2"/>
        <v>3</v>
      </c>
      <c r="C118" s="73">
        <f t="shared" si="3"/>
        <v>45112</v>
      </c>
      <c r="D118" s="33">
        <v>37.839999999999996</v>
      </c>
      <c r="E118" s="33">
        <v>14.3</v>
      </c>
      <c r="F118" s="33">
        <v>25.6</v>
      </c>
      <c r="G118" s="33">
        <v>10.829999999999998</v>
      </c>
      <c r="H118" s="33">
        <v>129</v>
      </c>
    </row>
    <row r="119" spans="1:8" ht="15.75" customHeight="1" x14ac:dyDescent="0.5">
      <c r="A119" s="31">
        <v>118</v>
      </c>
      <c r="B119" s="31">
        <f t="shared" si="2"/>
        <v>4</v>
      </c>
      <c r="C119" s="73">
        <f t="shared" si="3"/>
        <v>45113</v>
      </c>
      <c r="D119" s="33">
        <v>25.28</v>
      </c>
      <c r="E119" s="33">
        <v>0.8</v>
      </c>
      <c r="F119" s="33">
        <v>14.8</v>
      </c>
      <c r="G119" s="33">
        <v>2.12</v>
      </c>
      <c r="H119" s="33">
        <v>108</v>
      </c>
    </row>
    <row r="120" spans="1:8" ht="15.75" customHeight="1" x14ac:dyDescent="0.5">
      <c r="A120" s="31">
        <v>119</v>
      </c>
      <c r="B120" s="31">
        <f t="shared" si="2"/>
        <v>5</v>
      </c>
      <c r="C120" s="73">
        <f t="shared" si="3"/>
        <v>45114</v>
      </c>
      <c r="D120" s="33">
        <v>29.14</v>
      </c>
      <c r="E120" s="33">
        <v>36.9</v>
      </c>
      <c r="F120" s="33">
        <v>79.2</v>
      </c>
      <c r="G120" s="33">
        <v>19.339999999999996</v>
      </c>
      <c r="H120" s="33">
        <v>172</v>
      </c>
    </row>
    <row r="121" spans="1:8" ht="15.75" customHeight="1" x14ac:dyDescent="0.5">
      <c r="A121" s="31">
        <v>120</v>
      </c>
      <c r="B121" s="31">
        <f t="shared" si="2"/>
        <v>6</v>
      </c>
      <c r="C121" s="73">
        <f t="shared" si="3"/>
        <v>45115</v>
      </c>
      <c r="D121" s="33">
        <v>9.879999999999999</v>
      </c>
      <c r="E121" s="33">
        <v>16</v>
      </c>
      <c r="F121" s="33">
        <v>22.3</v>
      </c>
      <c r="G121" s="33">
        <v>1.0199999999999996</v>
      </c>
      <c r="H121" s="33">
        <v>77</v>
      </c>
    </row>
    <row r="122" spans="1:8" ht="15.75" customHeight="1" x14ac:dyDescent="0.5">
      <c r="A122" s="31">
        <v>121</v>
      </c>
      <c r="B122" s="31">
        <f t="shared" si="2"/>
        <v>7</v>
      </c>
      <c r="C122" s="73">
        <f t="shared" si="3"/>
        <v>45116</v>
      </c>
      <c r="D122" s="33">
        <v>36.260000000000005</v>
      </c>
      <c r="E122" s="33">
        <v>26.8</v>
      </c>
      <c r="F122" s="33">
        <v>46.2</v>
      </c>
      <c r="G122" s="33">
        <v>9.0500000000000007</v>
      </c>
      <c r="H122" s="33">
        <v>163</v>
      </c>
    </row>
    <row r="123" spans="1:8" ht="15.75" customHeight="1" x14ac:dyDescent="0.5">
      <c r="A123" s="31">
        <v>122</v>
      </c>
      <c r="B123" s="31">
        <f t="shared" si="2"/>
        <v>1</v>
      </c>
      <c r="C123" s="73">
        <f t="shared" si="3"/>
        <v>45117</v>
      </c>
      <c r="D123" s="33">
        <v>7.76</v>
      </c>
      <c r="E123" s="33">
        <v>21.7</v>
      </c>
      <c r="F123" s="33">
        <v>50.4</v>
      </c>
      <c r="G123" s="33">
        <v>12.57</v>
      </c>
      <c r="H123" s="33">
        <v>81</v>
      </c>
    </row>
    <row r="124" spans="1:8" ht="15.75" customHeight="1" x14ac:dyDescent="0.5">
      <c r="A124" s="31">
        <v>123</v>
      </c>
      <c r="B124" s="31">
        <f t="shared" si="2"/>
        <v>2</v>
      </c>
      <c r="C124" s="73">
        <f t="shared" si="3"/>
        <v>45118</v>
      </c>
      <c r="D124" s="33">
        <v>45.8</v>
      </c>
      <c r="E124" s="33">
        <v>2.4</v>
      </c>
      <c r="F124" s="33">
        <v>15.6</v>
      </c>
      <c r="G124" s="33">
        <v>17.36</v>
      </c>
      <c r="H124" s="33">
        <v>125</v>
      </c>
    </row>
    <row r="125" spans="1:8" ht="15.75" customHeight="1" x14ac:dyDescent="0.5">
      <c r="A125" s="31">
        <v>124</v>
      </c>
      <c r="B125" s="31">
        <f t="shared" si="2"/>
        <v>3</v>
      </c>
      <c r="C125" s="73">
        <f t="shared" si="3"/>
        <v>45119</v>
      </c>
      <c r="D125" s="33">
        <v>33.619999999999997</v>
      </c>
      <c r="E125" s="33">
        <v>34.6</v>
      </c>
      <c r="F125" s="33">
        <v>12.4</v>
      </c>
      <c r="G125" s="33">
        <v>24.65</v>
      </c>
      <c r="H125" s="33">
        <v>171</v>
      </c>
    </row>
    <row r="126" spans="1:8" ht="15.75" customHeight="1" x14ac:dyDescent="0.5">
      <c r="A126" s="31">
        <v>125</v>
      </c>
      <c r="B126" s="31">
        <f t="shared" si="2"/>
        <v>4</v>
      </c>
      <c r="C126" s="73">
        <f t="shared" si="3"/>
        <v>45120</v>
      </c>
      <c r="D126" s="33">
        <v>51.9</v>
      </c>
      <c r="E126" s="33">
        <v>32.299999999999997</v>
      </c>
      <c r="F126" s="33">
        <v>74.2</v>
      </c>
      <c r="G126" s="33">
        <v>9.419999999999991</v>
      </c>
      <c r="H126" s="33">
        <v>201</v>
      </c>
    </row>
    <row r="127" spans="1:8" ht="15.75" customHeight="1" x14ac:dyDescent="0.5">
      <c r="A127" s="31">
        <v>126</v>
      </c>
      <c r="B127" s="31">
        <f t="shared" si="2"/>
        <v>5</v>
      </c>
      <c r="C127" s="73">
        <f t="shared" si="3"/>
        <v>45121</v>
      </c>
      <c r="D127" s="33">
        <v>18.440000000000001</v>
      </c>
      <c r="E127" s="33">
        <v>11.8</v>
      </c>
      <c r="F127" s="33">
        <v>25.9</v>
      </c>
      <c r="G127" s="33">
        <v>4.2600000000000016</v>
      </c>
      <c r="H127" s="33">
        <v>126</v>
      </c>
    </row>
    <row r="128" spans="1:8" ht="15.75" customHeight="1" x14ac:dyDescent="0.5">
      <c r="A128" s="31">
        <v>127</v>
      </c>
      <c r="B128" s="31">
        <f t="shared" si="2"/>
        <v>6</v>
      </c>
      <c r="C128" s="73">
        <f t="shared" si="3"/>
        <v>45122</v>
      </c>
      <c r="D128" s="33">
        <v>8.56</v>
      </c>
      <c r="E128" s="33">
        <v>38.9</v>
      </c>
      <c r="F128" s="33">
        <v>50.6</v>
      </c>
      <c r="G128" s="33">
        <v>19.989999999999998</v>
      </c>
      <c r="H128" s="33">
        <v>78</v>
      </c>
    </row>
    <row r="129" spans="1:8" ht="15.75" customHeight="1" x14ac:dyDescent="0.5">
      <c r="A129" s="31">
        <v>128</v>
      </c>
      <c r="B129" s="31">
        <f t="shared" si="2"/>
        <v>7</v>
      </c>
      <c r="C129" s="73">
        <f t="shared" si="3"/>
        <v>45123</v>
      </c>
      <c r="D129" s="33">
        <v>71.06</v>
      </c>
      <c r="E129" s="33">
        <v>23.450000000000003</v>
      </c>
      <c r="F129" s="33">
        <v>9.1999999999999993</v>
      </c>
      <c r="G129" s="33">
        <v>31.35</v>
      </c>
      <c r="H129" s="33">
        <v>92</v>
      </c>
    </row>
    <row r="130" spans="1:8" ht="15.75" customHeight="1" x14ac:dyDescent="0.5">
      <c r="A130" s="31">
        <v>129</v>
      </c>
      <c r="B130" s="31">
        <f t="shared" ref="B130:B193" si="4">WEEKDAY(C130,2)</f>
        <v>1</v>
      </c>
      <c r="C130" s="73">
        <f t="shared" ref="C130:C193" si="5">+C131-1</f>
        <v>45124</v>
      </c>
      <c r="D130" s="33">
        <v>54.06</v>
      </c>
      <c r="E130" s="33">
        <v>49</v>
      </c>
      <c r="F130" s="33">
        <v>3.2</v>
      </c>
      <c r="G130" s="33">
        <v>41.756249999999994</v>
      </c>
      <c r="H130" s="33">
        <v>264</v>
      </c>
    </row>
    <row r="131" spans="1:8" ht="15.75" customHeight="1" x14ac:dyDescent="0.5">
      <c r="A131" s="31">
        <v>130</v>
      </c>
      <c r="B131" s="31">
        <f t="shared" si="4"/>
        <v>2</v>
      </c>
      <c r="C131" s="73">
        <f t="shared" si="5"/>
        <v>45125</v>
      </c>
      <c r="D131" s="33">
        <v>18.920000000000002</v>
      </c>
      <c r="E131" s="33">
        <v>12</v>
      </c>
      <c r="F131" s="33">
        <v>43.1</v>
      </c>
      <c r="G131" s="33">
        <v>14.719999999999999</v>
      </c>
      <c r="H131" s="33">
        <v>116</v>
      </c>
    </row>
    <row r="132" spans="1:8" ht="15.75" customHeight="1" x14ac:dyDescent="0.5">
      <c r="A132" s="31">
        <v>131</v>
      </c>
      <c r="B132" s="31">
        <f t="shared" si="4"/>
        <v>3</v>
      </c>
      <c r="C132" s="73">
        <f t="shared" si="5"/>
        <v>45126</v>
      </c>
      <c r="D132" s="33">
        <v>6</v>
      </c>
      <c r="E132" s="33">
        <v>39.6</v>
      </c>
      <c r="F132" s="33">
        <v>8.6999999999999993</v>
      </c>
      <c r="G132" s="33">
        <v>41.756249999999994</v>
      </c>
      <c r="H132" s="33">
        <v>28</v>
      </c>
    </row>
    <row r="133" spans="1:8" ht="15.75" customHeight="1" x14ac:dyDescent="0.5">
      <c r="A133" s="31">
        <v>132</v>
      </c>
      <c r="B133" s="31">
        <f t="shared" si="4"/>
        <v>4</v>
      </c>
      <c r="C133" s="73">
        <f t="shared" si="5"/>
        <v>45127</v>
      </c>
      <c r="D133" s="33">
        <v>55.04</v>
      </c>
      <c r="E133" s="33">
        <v>2.9</v>
      </c>
      <c r="F133" s="33">
        <v>43</v>
      </c>
      <c r="G133" s="33">
        <v>10.77</v>
      </c>
      <c r="H133" s="33">
        <v>147</v>
      </c>
    </row>
    <row r="134" spans="1:8" ht="15.75" customHeight="1" x14ac:dyDescent="0.5">
      <c r="A134" s="31">
        <v>133</v>
      </c>
      <c r="B134" s="31">
        <f t="shared" si="4"/>
        <v>5</v>
      </c>
      <c r="C134" s="73">
        <f t="shared" si="5"/>
        <v>45128</v>
      </c>
      <c r="D134" s="33">
        <v>5.68</v>
      </c>
      <c r="E134" s="33">
        <v>27.2</v>
      </c>
      <c r="F134" s="33">
        <v>2.1</v>
      </c>
      <c r="G134" s="33">
        <v>13.6</v>
      </c>
      <c r="H134" s="33">
        <v>71</v>
      </c>
    </row>
    <row r="135" spans="1:8" ht="15.75" customHeight="1" x14ac:dyDescent="0.5">
      <c r="A135" s="31">
        <v>134</v>
      </c>
      <c r="B135" s="31">
        <f t="shared" si="4"/>
        <v>6</v>
      </c>
      <c r="C135" s="73">
        <f t="shared" si="5"/>
        <v>45129</v>
      </c>
      <c r="D135" s="33">
        <v>45.96</v>
      </c>
      <c r="E135" s="33">
        <v>33.5</v>
      </c>
      <c r="F135" s="33">
        <v>45.1</v>
      </c>
      <c r="G135" s="33">
        <v>20.69</v>
      </c>
      <c r="H135" s="33">
        <v>164.45535714285714</v>
      </c>
    </row>
    <row r="136" spans="1:8" ht="15.75" customHeight="1" x14ac:dyDescent="0.5">
      <c r="A136" s="31">
        <v>135</v>
      </c>
      <c r="B136" s="31">
        <f t="shared" si="4"/>
        <v>7</v>
      </c>
      <c r="C136" s="73">
        <f t="shared" si="5"/>
        <v>45130</v>
      </c>
      <c r="D136" s="33">
        <v>14.379999999999999</v>
      </c>
      <c r="E136" s="33">
        <v>38.6</v>
      </c>
      <c r="F136" s="33">
        <v>65.599999999999994</v>
      </c>
      <c r="G136" s="33">
        <v>16.750000000000004</v>
      </c>
      <c r="H136" s="33">
        <v>124</v>
      </c>
    </row>
    <row r="137" spans="1:8" ht="15.75" customHeight="1" x14ac:dyDescent="0.5">
      <c r="A137" s="31">
        <v>136</v>
      </c>
      <c r="B137" s="31">
        <f t="shared" si="4"/>
        <v>1</v>
      </c>
      <c r="C137" s="73">
        <f t="shared" si="5"/>
        <v>45131</v>
      </c>
      <c r="D137" s="33">
        <v>14.66</v>
      </c>
      <c r="E137" s="33">
        <v>47</v>
      </c>
      <c r="F137" s="33">
        <v>8.5</v>
      </c>
      <c r="G137" s="33">
        <v>24.93</v>
      </c>
      <c r="H137" s="33">
        <v>124</v>
      </c>
    </row>
    <row r="138" spans="1:8" ht="15.75" customHeight="1" x14ac:dyDescent="0.5">
      <c r="A138" s="31">
        <v>137</v>
      </c>
      <c r="B138" s="31">
        <f t="shared" si="4"/>
        <v>2</v>
      </c>
      <c r="C138" s="73">
        <f t="shared" si="5"/>
        <v>45132</v>
      </c>
      <c r="D138" s="33">
        <v>10.120000000000001</v>
      </c>
      <c r="E138" s="33">
        <v>39</v>
      </c>
      <c r="F138" s="33">
        <v>9.3000000000000007</v>
      </c>
      <c r="G138" s="33">
        <v>18.339999999999996</v>
      </c>
      <c r="H138" s="33">
        <v>98</v>
      </c>
    </row>
    <row r="139" spans="1:8" ht="15.75" customHeight="1" x14ac:dyDescent="0.5">
      <c r="A139" s="31">
        <v>138</v>
      </c>
      <c r="B139" s="31">
        <f t="shared" si="4"/>
        <v>3</v>
      </c>
      <c r="C139" s="73">
        <f t="shared" si="5"/>
        <v>45133</v>
      </c>
      <c r="D139" s="33">
        <v>58.739999999999995</v>
      </c>
      <c r="E139" s="33">
        <v>28.9</v>
      </c>
      <c r="F139" s="33">
        <v>59.7</v>
      </c>
      <c r="G139" s="33">
        <v>17.939999999999991</v>
      </c>
      <c r="H139" s="33">
        <v>210</v>
      </c>
    </row>
    <row r="140" spans="1:8" ht="15.75" customHeight="1" x14ac:dyDescent="0.5">
      <c r="A140" s="31">
        <v>139</v>
      </c>
      <c r="B140" s="31">
        <f t="shared" si="4"/>
        <v>4</v>
      </c>
      <c r="C140" s="73">
        <f t="shared" si="5"/>
        <v>45134</v>
      </c>
      <c r="D140" s="33">
        <v>9.6</v>
      </c>
      <c r="E140" s="33">
        <v>25.9</v>
      </c>
      <c r="F140" s="33">
        <v>20.5</v>
      </c>
      <c r="G140" s="33">
        <v>9.0499999999999989</v>
      </c>
      <c r="H140" s="33">
        <v>109</v>
      </c>
    </row>
    <row r="141" spans="1:8" ht="15.75" customHeight="1" x14ac:dyDescent="0.5">
      <c r="A141" s="31">
        <v>140</v>
      </c>
      <c r="B141" s="31">
        <f t="shared" si="4"/>
        <v>5</v>
      </c>
      <c r="C141" s="73">
        <f t="shared" si="5"/>
        <v>45135</v>
      </c>
      <c r="D141" s="33">
        <v>96.179999999999993</v>
      </c>
      <c r="E141" s="33">
        <v>43.9</v>
      </c>
      <c r="F141" s="33">
        <v>1.7</v>
      </c>
      <c r="G141" s="33">
        <v>39.76</v>
      </c>
      <c r="H141" s="33">
        <v>227</v>
      </c>
    </row>
    <row r="142" spans="1:8" ht="15.75" customHeight="1" x14ac:dyDescent="0.5">
      <c r="A142" s="31">
        <v>141</v>
      </c>
      <c r="B142" s="31">
        <f t="shared" si="4"/>
        <v>6</v>
      </c>
      <c r="C142" s="73">
        <f t="shared" si="5"/>
        <v>45136</v>
      </c>
      <c r="D142" s="33">
        <v>20.910000000000004</v>
      </c>
      <c r="E142" s="33">
        <v>17</v>
      </c>
      <c r="F142" s="33">
        <v>12.9</v>
      </c>
      <c r="G142" s="33">
        <v>10.68</v>
      </c>
      <c r="H142" s="33">
        <v>113</v>
      </c>
    </row>
    <row r="143" spans="1:8" ht="15.75" customHeight="1" x14ac:dyDescent="0.5">
      <c r="A143" s="31">
        <v>142</v>
      </c>
      <c r="B143" s="31">
        <f t="shared" si="4"/>
        <v>7</v>
      </c>
      <c r="C143" s="73">
        <f t="shared" si="5"/>
        <v>45137</v>
      </c>
      <c r="D143" s="33">
        <v>49.443333333333328</v>
      </c>
      <c r="E143" s="33">
        <v>35.4</v>
      </c>
      <c r="F143" s="33">
        <v>75.599999999999994</v>
      </c>
      <c r="G143" s="33">
        <v>6.8299999999999947</v>
      </c>
      <c r="H143" s="33">
        <v>207</v>
      </c>
    </row>
    <row r="144" spans="1:8" ht="15.75" customHeight="1" x14ac:dyDescent="0.5">
      <c r="A144" s="31">
        <v>143</v>
      </c>
      <c r="B144" s="31">
        <f t="shared" si="4"/>
        <v>1</v>
      </c>
      <c r="C144" s="73">
        <f t="shared" si="5"/>
        <v>45138</v>
      </c>
      <c r="D144" s="33">
        <v>50.1</v>
      </c>
      <c r="E144" s="33">
        <v>33.200000000000003</v>
      </c>
      <c r="F144" s="33">
        <v>37.9</v>
      </c>
      <c r="G144" s="33">
        <v>23.490000000000006</v>
      </c>
      <c r="H144" s="33">
        <v>218</v>
      </c>
    </row>
    <row r="145" spans="1:8" ht="15.75" customHeight="1" x14ac:dyDescent="0.5">
      <c r="A145" s="31">
        <v>144</v>
      </c>
      <c r="B145" s="31">
        <f t="shared" si="4"/>
        <v>2</v>
      </c>
      <c r="C145" s="73">
        <f t="shared" si="5"/>
        <v>45139</v>
      </c>
      <c r="D145" s="33">
        <v>28.919999999999998</v>
      </c>
      <c r="E145" s="33">
        <v>5.7</v>
      </c>
      <c r="F145" s="33">
        <v>34.4</v>
      </c>
      <c r="G145" s="33">
        <v>19.549999999999997</v>
      </c>
      <c r="H145" s="33">
        <v>144.14285714285714</v>
      </c>
    </row>
    <row r="146" spans="1:8" ht="15.75" customHeight="1" x14ac:dyDescent="0.5">
      <c r="A146" s="31">
        <v>145</v>
      </c>
      <c r="B146" s="31">
        <f t="shared" si="4"/>
        <v>3</v>
      </c>
      <c r="C146" s="73">
        <f t="shared" si="5"/>
        <v>45140</v>
      </c>
      <c r="D146" s="33">
        <v>29.240000000000002</v>
      </c>
      <c r="E146" s="33">
        <v>14.8</v>
      </c>
      <c r="F146" s="33">
        <v>38.9</v>
      </c>
      <c r="G146" s="33">
        <v>1.4600000000000026</v>
      </c>
      <c r="H146" s="33">
        <v>127</v>
      </c>
    </row>
    <row r="147" spans="1:8" ht="15.75" customHeight="1" x14ac:dyDescent="0.5">
      <c r="A147" s="31">
        <v>146</v>
      </c>
      <c r="B147" s="31">
        <f t="shared" si="4"/>
        <v>4</v>
      </c>
      <c r="C147" s="73">
        <f t="shared" si="5"/>
        <v>45141</v>
      </c>
      <c r="D147" s="33">
        <v>31.060000000000002</v>
      </c>
      <c r="E147" s="33">
        <v>1.9</v>
      </c>
      <c r="F147" s="33">
        <v>9</v>
      </c>
      <c r="G147" s="33">
        <v>11.38</v>
      </c>
      <c r="H147" s="33">
        <v>123</v>
      </c>
    </row>
    <row r="148" spans="1:8" ht="15.75" customHeight="1" x14ac:dyDescent="0.5">
      <c r="A148" s="31">
        <v>147</v>
      </c>
      <c r="B148" s="31">
        <f t="shared" si="4"/>
        <v>5</v>
      </c>
      <c r="C148" s="73">
        <f t="shared" si="5"/>
        <v>45142</v>
      </c>
      <c r="D148" s="33">
        <v>55.019999999999996</v>
      </c>
      <c r="E148" s="33">
        <v>7.3</v>
      </c>
      <c r="F148" s="33">
        <v>8.6999999999999993</v>
      </c>
      <c r="G148" s="33">
        <v>24.179999999999996</v>
      </c>
      <c r="H148" s="33">
        <v>142</v>
      </c>
    </row>
    <row r="149" spans="1:8" ht="15.75" customHeight="1" x14ac:dyDescent="0.5">
      <c r="A149" s="31">
        <v>148</v>
      </c>
      <c r="B149" s="31">
        <f t="shared" si="4"/>
        <v>6</v>
      </c>
      <c r="C149" s="73">
        <f t="shared" si="5"/>
        <v>45143</v>
      </c>
      <c r="D149" s="33">
        <v>50.64</v>
      </c>
      <c r="E149" s="33">
        <v>49</v>
      </c>
      <c r="F149" s="33">
        <v>44.3</v>
      </c>
      <c r="G149" s="33">
        <v>31.1</v>
      </c>
      <c r="H149" s="33">
        <v>265</v>
      </c>
    </row>
    <row r="150" spans="1:8" ht="15.75" customHeight="1" x14ac:dyDescent="0.5">
      <c r="A150" s="31">
        <v>149</v>
      </c>
      <c r="B150" s="31">
        <f t="shared" si="4"/>
        <v>7</v>
      </c>
      <c r="C150" s="73">
        <f t="shared" si="5"/>
        <v>45144</v>
      </c>
      <c r="D150" s="33">
        <v>15.6</v>
      </c>
      <c r="E150" s="33">
        <v>40.299999999999997</v>
      </c>
      <c r="F150" s="33">
        <v>11.9</v>
      </c>
      <c r="G150" s="33">
        <v>19.189999999999998</v>
      </c>
      <c r="H150" s="33">
        <v>110</v>
      </c>
    </row>
    <row r="151" spans="1:8" ht="15.75" customHeight="1" x14ac:dyDescent="0.5">
      <c r="A151" s="31">
        <v>150</v>
      </c>
      <c r="B151" s="31">
        <f t="shared" si="4"/>
        <v>1</v>
      </c>
      <c r="C151" s="73">
        <f t="shared" si="5"/>
        <v>45145</v>
      </c>
      <c r="D151" s="33">
        <v>96.179999999999993</v>
      </c>
      <c r="E151" s="33">
        <v>25.8</v>
      </c>
      <c r="F151" s="33">
        <v>20.6</v>
      </c>
      <c r="G151" s="33">
        <v>9.1300000000000008</v>
      </c>
      <c r="H151" s="33">
        <v>118</v>
      </c>
    </row>
    <row r="152" spans="1:8" ht="15.75" customHeight="1" x14ac:dyDescent="0.5">
      <c r="A152" s="31">
        <v>151</v>
      </c>
      <c r="B152" s="31">
        <f t="shared" si="4"/>
        <v>2</v>
      </c>
      <c r="C152" s="73">
        <f t="shared" si="5"/>
        <v>45146</v>
      </c>
      <c r="D152" s="33">
        <v>66.14</v>
      </c>
      <c r="E152" s="33">
        <v>13.9</v>
      </c>
      <c r="F152" s="33">
        <v>37</v>
      </c>
      <c r="G152" s="33">
        <v>20.220000000000002</v>
      </c>
      <c r="H152" s="33">
        <v>166</v>
      </c>
    </row>
    <row r="153" spans="1:8" ht="15.75" customHeight="1" x14ac:dyDescent="0.5">
      <c r="A153" s="31">
        <v>152</v>
      </c>
      <c r="B153" s="31">
        <f t="shared" si="4"/>
        <v>3</v>
      </c>
      <c r="C153" s="73">
        <f t="shared" si="5"/>
        <v>45147</v>
      </c>
      <c r="D153" s="33">
        <v>31.2</v>
      </c>
      <c r="E153" s="33">
        <v>8.4</v>
      </c>
      <c r="F153" s="33">
        <v>48.7</v>
      </c>
      <c r="G153" s="33">
        <v>16.819999999999997</v>
      </c>
      <c r="H153" s="33">
        <v>125</v>
      </c>
    </row>
    <row r="154" spans="1:8" ht="15.75" customHeight="1" x14ac:dyDescent="0.5">
      <c r="A154" s="31">
        <v>153</v>
      </c>
      <c r="B154" s="31">
        <f t="shared" si="4"/>
        <v>4</v>
      </c>
      <c r="C154" s="73">
        <f t="shared" si="5"/>
        <v>45148</v>
      </c>
      <c r="D154" s="33">
        <v>40.519999999999996</v>
      </c>
      <c r="E154" s="33">
        <v>23.3</v>
      </c>
      <c r="F154" s="33">
        <v>14.2</v>
      </c>
      <c r="G154" s="33">
        <v>25.729999999999997</v>
      </c>
      <c r="H154" s="33">
        <v>169</v>
      </c>
    </row>
    <row r="155" spans="1:8" ht="15.75" customHeight="1" x14ac:dyDescent="0.5">
      <c r="A155" s="31">
        <v>154</v>
      </c>
      <c r="B155" s="31">
        <f t="shared" si="4"/>
        <v>5</v>
      </c>
      <c r="C155" s="73">
        <f t="shared" si="5"/>
        <v>45149</v>
      </c>
      <c r="D155" s="33">
        <v>37.260000000000005</v>
      </c>
      <c r="E155" s="33">
        <v>39.700000000000003</v>
      </c>
      <c r="F155" s="33">
        <v>37.700000000000003</v>
      </c>
      <c r="G155" s="33">
        <v>21.900000000000002</v>
      </c>
      <c r="H155" s="33">
        <v>208</v>
      </c>
    </row>
    <row r="156" spans="1:8" ht="15.75" customHeight="1" x14ac:dyDescent="0.5">
      <c r="A156" s="31">
        <v>155</v>
      </c>
      <c r="B156" s="31">
        <f t="shared" si="4"/>
        <v>6</v>
      </c>
      <c r="C156" s="73">
        <f t="shared" si="5"/>
        <v>45150</v>
      </c>
      <c r="D156" s="33">
        <v>43.56</v>
      </c>
      <c r="E156" s="33">
        <v>21.1</v>
      </c>
      <c r="F156" s="33">
        <v>9.5</v>
      </c>
      <c r="G156" s="33">
        <v>25.53</v>
      </c>
      <c r="H156" s="33">
        <v>166</v>
      </c>
    </row>
    <row r="157" spans="1:8" ht="15.75" customHeight="1" x14ac:dyDescent="0.5">
      <c r="A157" s="31">
        <v>156</v>
      </c>
      <c r="B157" s="31">
        <f t="shared" si="4"/>
        <v>7</v>
      </c>
      <c r="C157" s="73">
        <f t="shared" si="5"/>
        <v>45151</v>
      </c>
      <c r="D157" s="33">
        <v>9.82</v>
      </c>
      <c r="E157" s="33">
        <v>11.6</v>
      </c>
      <c r="F157" s="33">
        <v>5.7</v>
      </c>
      <c r="G157" s="33">
        <v>41.756249999999994</v>
      </c>
      <c r="H157" s="33">
        <v>35</v>
      </c>
    </row>
    <row r="158" spans="1:8" ht="15.75" customHeight="1" x14ac:dyDescent="0.5">
      <c r="A158" s="31">
        <v>157</v>
      </c>
      <c r="B158" s="31">
        <f t="shared" si="4"/>
        <v>1</v>
      </c>
      <c r="C158" s="73">
        <f t="shared" si="5"/>
        <v>45152</v>
      </c>
      <c r="D158" s="33">
        <v>25.78</v>
      </c>
      <c r="E158" s="33">
        <v>43.5</v>
      </c>
      <c r="F158" s="33">
        <v>50.5</v>
      </c>
      <c r="G158" s="33">
        <v>10.939999999999998</v>
      </c>
      <c r="H158" s="33">
        <v>173</v>
      </c>
    </row>
    <row r="159" spans="1:8" ht="15.75" customHeight="1" x14ac:dyDescent="0.5">
      <c r="A159" s="31">
        <v>158</v>
      </c>
      <c r="B159" s="31">
        <f t="shared" si="4"/>
        <v>2</v>
      </c>
      <c r="C159" s="73">
        <f t="shared" si="5"/>
        <v>45153</v>
      </c>
      <c r="D159" s="33">
        <v>39.96</v>
      </c>
      <c r="E159" s="33">
        <v>1.3</v>
      </c>
      <c r="F159" s="33">
        <v>24.3</v>
      </c>
      <c r="G159" s="33">
        <v>5.91</v>
      </c>
      <c r="H159" s="33">
        <v>111</v>
      </c>
    </row>
    <row r="160" spans="1:8" ht="15.75" customHeight="1" x14ac:dyDescent="0.5">
      <c r="A160" s="31">
        <v>159</v>
      </c>
      <c r="B160" s="31">
        <f t="shared" si="4"/>
        <v>3</v>
      </c>
      <c r="C160" s="73">
        <f t="shared" si="5"/>
        <v>45154</v>
      </c>
      <c r="D160" s="33">
        <v>12.34</v>
      </c>
      <c r="E160" s="33">
        <v>36.9</v>
      </c>
      <c r="F160" s="33">
        <v>45.2</v>
      </c>
      <c r="G160" s="33">
        <v>1.5399999999999956</v>
      </c>
      <c r="H160" s="33">
        <v>85</v>
      </c>
    </row>
    <row r="161" spans="1:8" ht="15.75" customHeight="1" x14ac:dyDescent="0.5">
      <c r="A161" s="31">
        <v>160</v>
      </c>
      <c r="B161" s="31">
        <f t="shared" si="4"/>
        <v>4</v>
      </c>
      <c r="C161" s="73">
        <f t="shared" si="5"/>
        <v>45155</v>
      </c>
      <c r="D161" s="33">
        <v>32.339999999999996</v>
      </c>
      <c r="E161" s="33">
        <v>18.399999999999999</v>
      </c>
      <c r="F161" s="33">
        <v>34.6</v>
      </c>
      <c r="G161" s="33">
        <v>8.5299999999999958</v>
      </c>
      <c r="H161" s="33">
        <v>138</v>
      </c>
    </row>
    <row r="162" spans="1:8" ht="15.75" customHeight="1" x14ac:dyDescent="0.5">
      <c r="A162" s="31">
        <v>161</v>
      </c>
      <c r="B162" s="31">
        <f t="shared" si="4"/>
        <v>5</v>
      </c>
      <c r="C162" s="73">
        <f t="shared" si="5"/>
        <v>45156</v>
      </c>
      <c r="D162" s="33">
        <v>44.5</v>
      </c>
      <c r="E162" s="33">
        <v>18.100000000000001</v>
      </c>
      <c r="F162" s="33">
        <v>30.7</v>
      </c>
      <c r="G162" s="33">
        <v>14.02</v>
      </c>
      <c r="H162" s="33">
        <v>159</v>
      </c>
    </row>
    <row r="163" spans="1:8" ht="15.75" customHeight="1" x14ac:dyDescent="0.5">
      <c r="A163" s="31">
        <v>162</v>
      </c>
      <c r="B163" s="31">
        <f t="shared" si="4"/>
        <v>6</v>
      </c>
      <c r="C163" s="73">
        <f t="shared" si="5"/>
        <v>45157</v>
      </c>
      <c r="D163" s="33">
        <v>19.14</v>
      </c>
      <c r="E163" s="33">
        <v>35.799999999999997</v>
      </c>
      <c r="F163" s="33">
        <v>49.3</v>
      </c>
      <c r="G163" s="33">
        <v>6.75</v>
      </c>
      <c r="H163" s="33">
        <v>151</v>
      </c>
    </row>
    <row r="164" spans="1:8" ht="15.75" customHeight="1" x14ac:dyDescent="0.5">
      <c r="A164" s="31">
        <v>163</v>
      </c>
      <c r="B164" s="31">
        <f t="shared" si="4"/>
        <v>7</v>
      </c>
      <c r="C164" s="73">
        <f t="shared" si="5"/>
        <v>45158</v>
      </c>
      <c r="D164" s="33">
        <v>42.68</v>
      </c>
      <c r="E164" s="33">
        <v>23.450000000000003</v>
      </c>
      <c r="F164" s="33">
        <v>25.9</v>
      </c>
      <c r="G164" s="33">
        <v>17.649999999999999</v>
      </c>
      <c r="H164" s="33">
        <v>168</v>
      </c>
    </row>
    <row r="165" spans="1:8" ht="15.75" customHeight="1" x14ac:dyDescent="0.5">
      <c r="A165" s="31">
        <v>164</v>
      </c>
      <c r="B165" s="31">
        <f t="shared" si="4"/>
        <v>1</v>
      </c>
      <c r="C165" s="73">
        <f t="shared" si="5"/>
        <v>45159</v>
      </c>
      <c r="D165" s="33">
        <v>33.700000000000003</v>
      </c>
      <c r="E165" s="33">
        <v>36.799999999999997</v>
      </c>
      <c r="F165" s="33">
        <v>7.4</v>
      </c>
      <c r="G165" s="33">
        <v>31.79</v>
      </c>
      <c r="H165" s="33">
        <v>193</v>
      </c>
    </row>
    <row r="166" spans="1:8" ht="15.75" customHeight="1" x14ac:dyDescent="0.5">
      <c r="A166" s="31">
        <v>165</v>
      </c>
      <c r="B166" s="31">
        <f t="shared" si="4"/>
        <v>2</v>
      </c>
      <c r="C166" s="73">
        <f t="shared" si="5"/>
        <v>45160</v>
      </c>
      <c r="D166" s="33">
        <v>28.44</v>
      </c>
      <c r="E166" s="33">
        <v>14.7</v>
      </c>
      <c r="F166" s="33">
        <v>5.4</v>
      </c>
      <c r="G166" s="33">
        <v>16.91</v>
      </c>
      <c r="H166" s="33">
        <v>132</v>
      </c>
    </row>
    <row r="167" spans="1:8" ht="15.75" customHeight="1" x14ac:dyDescent="0.5">
      <c r="A167" s="31">
        <v>166</v>
      </c>
      <c r="B167" s="31">
        <f t="shared" si="4"/>
        <v>3</v>
      </c>
      <c r="C167" s="73">
        <f t="shared" si="5"/>
        <v>45161</v>
      </c>
      <c r="D167" s="33">
        <v>56.9</v>
      </c>
      <c r="E167" s="33">
        <v>3.4</v>
      </c>
      <c r="F167" s="33">
        <v>84.8</v>
      </c>
      <c r="G167" s="33">
        <v>11.229999999999997</v>
      </c>
      <c r="H167" s="33">
        <v>131</v>
      </c>
    </row>
    <row r="168" spans="1:8" ht="15.75" customHeight="1" x14ac:dyDescent="0.5">
      <c r="A168" s="31">
        <v>167</v>
      </c>
      <c r="B168" s="31">
        <f t="shared" si="4"/>
        <v>4</v>
      </c>
      <c r="C168" s="73">
        <f t="shared" si="5"/>
        <v>45162</v>
      </c>
      <c r="D168" s="33">
        <v>11.58</v>
      </c>
      <c r="E168" s="33">
        <v>37.6</v>
      </c>
      <c r="F168" s="33">
        <v>21.6</v>
      </c>
      <c r="G168" s="33">
        <v>11.95</v>
      </c>
      <c r="H168" s="33">
        <v>90</v>
      </c>
    </row>
    <row r="169" spans="1:8" ht="15.75" customHeight="1" x14ac:dyDescent="0.5">
      <c r="A169" s="31">
        <v>168</v>
      </c>
      <c r="B169" s="31">
        <f t="shared" si="4"/>
        <v>5</v>
      </c>
      <c r="C169" s="73">
        <f t="shared" si="5"/>
        <v>45163</v>
      </c>
      <c r="D169" s="33">
        <v>48.36</v>
      </c>
      <c r="E169" s="33">
        <v>5.2</v>
      </c>
      <c r="F169" s="33">
        <v>19.399999999999999</v>
      </c>
      <c r="G169" s="33">
        <v>15.520000000000001</v>
      </c>
      <c r="H169" s="33">
        <v>129</v>
      </c>
    </row>
    <row r="170" spans="1:8" ht="15.75" customHeight="1" x14ac:dyDescent="0.5">
      <c r="A170" s="31">
        <v>169</v>
      </c>
      <c r="B170" s="31">
        <f t="shared" si="4"/>
        <v>6</v>
      </c>
      <c r="C170" s="73">
        <f t="shared" si="5"/>
        <v>45164</v>
      </c>
      <c r="D170" s="33">
        <v>45.08</v>
      </c>
      <c r="E170" s="33">
        <v>23.6</v>
      </c>
      <c r="F170" s="33">
        <v>57.6</v>
      </c>
      <c r="G170" s="33">
        <v>10.3</v>
      </c>
      <c r="H170" s="33">
        <v>185</v>
      </c>
    </row>
    <row r="171" spans="1:8" ht="15.75" customHeight="1" x14ac:dyDescent="0.5">
      <c r="A171" s="31">
        <v>170</v>
      </c>
      <c r="B171" s="31">
        <f t="shared" si="4"/>
        <v>7</v>
      </c>
      <c r="C171" s="73">
        <f t="shared" si="5"/>
        <v>45165</v>
      </c>
      <c r="D171" s="33">
        <v>60.86</v>
      </c>
      <c r="E171" s="33">
        <v>10.6</v>
      </c>
      <c r="F171" s="33">
        <v>6.4</v>
      </c>
      <c r="G171" s="33">
        <v>31.169999999999995</v>
      </c>
      <c r="H171" s="33">
        <v>162</v>
      </c>
    </row>
    <row r="172" spans="1:8" ht="15.75" customHeight="1" x14ac:dyDescent="0.5">
      <c r="A172" s="31">
        <v>171</v>
      </c>
      <c r="B172" s="31">
        <f t="shared" si="4"/>
        <v>1</v>
      </c>
      <c r="C172" s="73">
        <f t="shared" si="5"/>
        <v>45166</v>
      </c>
      <c r="D172" s="33">
        <v>12</v>
      </c>
      <c r="E172" s="33">
        <v>11.6</v>
      </c>
      <c r="F172" s="33">
        <v>18.399999999999999</v>
      </c>
      <c r="G172" s="33">
        <v>3.4400000000000013</v>
      </c>
      <c r="H172" s="33">
        <v>90</v>
      </c>
    </row>
    <row r="173" spans="1:8" ht="15.75" customHeight="1" x14ac:dyDescent="0.5">
      <c r="A173" s="31">
        <v>172</v>
      </c>
      <c r="B173" s="31">
        <f t="shared" si="4"/>
        <v>2</v>
      </c>
      <c r="C173" s="73">
        <f t="shared" si="5"/>
        <v>45167</v>
      </c>
      <c r="D173" s="33">
        <v>42.9</v>
      </c>
      <c r="E173" s="33">
        <v>20.9</v>
      </c>
      <c r="F173" s="33">
        <v>47.4</v>
      </c>
      <c r="G173" s="33">
        <v>7.9399999999999977</v>
      </c>
      <c r="H173" s="33">
        <v>163</v>
      </c>
    </row>
    <row r="174" spans="1:8" ht="15.75" customHeight="1" x14ac:dyDescent="0.5">
      <c r="A174" s="31">
        <v>173</v>
      </c>
      <c r="B174" s="31">
        <f t="shared" si="4"/>
        <v>3</v>
      </c>
      <c r="C174" s="73">
        <f t="shared" si="5"/>
        <v>45168</v>
      </c>
      <c r="D174" s="33">
        <v>9.92</v>
      </c>
      <c r="E174" s="33">
        <v>20.100000000000001</v>
      </c>
      <c r="F174" s="33">
        <v>17</v>
      </c>
      <c r="G174" s="33">
        <v>5.2100000000000009</v>
      </c>
      <c r="H174" s="33">
        <v>93</v>
      </c>
    </row>
    <row r="175" spans="1:8" ht="15.75" customHeight="1" x14ac:dyDescent="0.5">
      <c r="A175" s="31">
        <v>174</v>
      </c>
      <c r="B175" s="31">
        <f t="shared" si="4"/>
        <v>4</v>
      </c>
      <c r="C175" s="73">
        <f t="shared" si="5"/>
        <v>45169</v>
      </c>
      <c r="D175" s="33">
        <v>36.68</v>
      </c>
      <c r="E175" s="33">
        <v>7.1</v>
      </c>
      <c r="F175" s="33">
        <v>12.8</v>
      </c>
      <c r="G175" s="33">
        <v>15.27</v>
      </c>
      <c r="H175" s="33">
        <v>129</v>
      </c>
    </row>
    <row r="176" spans="1:8" ht="15.75" customHeight="1" x14ac:dyDescent="0.5">
      <c r="A176" s="31">
        <v>175</v>
      </c>
      <c r="B176" s="31">
        <f t="shared" si="4"/>
        <v>5</v>
      </c>
      <c r="C176" s="73">
        <f t="shared" si="5"/>
        <v>45170</v>
      </c>
      <c r="D176" s="33">
        <v>53.480000000000004</v>
      </c>
      <c r="E176" s="33">
        <v>3.4</v>
      </c>
      <c r="F176" s="33">
        <v>13.1</v>
      </c>
      <c r="G176" s="33">
        <v>18.700000000000003</v>
      </c>
      <c r="H176" s="33">
        <v>127</v>
      </c>
    </row>
    <row r="177" spans="1:8" ht="15.75" customHeight="1" x14ac:dyDescent="0.5">
      <c r="A177" s="31">
        <v>176</v>
      </c>
      <c r="B177" s="31">
        <f t="shared" si="4"/>
        <v>6</v>
      </c>
      <c r="C177" s="73">
        <f t="shared" si="5"/>
        <v>45171</v>
      </c>
      <c r="D177" s="33">
        <v>64.38</v>
      </c>
      <c r="E177" s="33">
        <v>48.9</v>
      </c>
      <c r="F177" s="33">
        <v>41.8</v>
      </c>
      <c r="G177" s="33">
        <v>35.42</v>
      </c>
      <c r="H177" s="33">
        <v>271</v>
      </c>
    </row>
    <row r="178" spans="1:8" ht="15.75" customHeight="1" x14ac:dyDescent="0.5">
      <c r="A178" s="31">
        <v>177</v>
      </c>
      <c r="B178" s="31">
        <f t="shared" si="4"/>
        <v>7</v>
      </c>
      <c r="C178" s="73">
        <f t="shared" si="5"/>
        <v>45172</v>
      </c>
      <c r="D178" s="33">
        <v>58.68</v>
      </c>
      <c r="E178" s="33">
        <v>30.2</v>
      </c>
      <c r="F178" s="33">
        <v>20.3</v>
      </c>
      <c r="G178" s="33">
        <v>31.819999999999997</v>
      </c>
      <c r="H178" s="33">
        <v>216</v>
      </c>
    </row>
    <row r="179" spans="1:8" ht="15.75" customHeight="1" x14ac:dyDescent="0.5">
      <c r="A179" s="31">
        <v>178</v>
      </c>
      <c r="B179" s="31">
        <f t="shared" si="4"/>
        <v>1</v>
      </c>
      <c r="C179" s="73">
        <f t="shared" si="5"/>
        <v>45173</v>
      </c>
      <c r="D179" s="33">
        <v>40.04</v>
      </c>
      <c r="E179" s="33">
        <v>7.8</v>
      </c>
      <c r="F179" s="33">
        <v>35.200000000000003</v>
      </c>
      <c r="G179" s="33">
        <v>41.756249999999994</v>
      </c>
      <c r="H179" s="33">
        <v>131</v>
      </c>
    </row>
    <row r="180" spans="1:8" ht="15.75" customHeight="1" x14ac:dyDescent="0.5">
      <c r="A180" s="31">
        <v>179</v>
      </c>
      <c r="B180" s="31">
        <f t="shared" si="4"/>
        <v>2</v>
      </c>
      <c r="C180" s="73">
        <f t="shared" si="5"/>
        <v>45174</v>
      </c>
      <c r="D180" s="33">
        <v>63.339999999999996</v>
      </c>
      <c r="E180" s="33">
        <v>2.2999999999999998</v>
      </c>
      <c r="F180" s="33">
        <v>23.7</v>
      </c>
      <c r="G180" s="33">
        <v>19.339999999999996</v>
      </c>
      <c r="H180" s="33">
        <v>131</v>
      </c>
    </row>
    <row r="181" spans="1:8" ht="15.75" customHeight="1" x14ac:dyDescent="0.5">
      <c r="A181" s="31">
        <v>180</v>
      </c>
      <c r="B181" s="31">
        <f t="shared" si="4"/>
        <v>3</v>
      </c>
      <c r="C181" s="73">
        <f t="shared" si="5"/>
        <v>45175</v>
      </c>
      <c r="D181" s="33">
        <v>41.12</v>
      </c>
      <c r="E181" s="33">
        <v>10</v>
      </c>
      <c r="F181" s="33">
        <v>17.600000000000001</v>
      </c>
      <c r="G181" s="33">
        <v>14.519999999999998</v>
      </c>
      <c r="H181" s="33">
        <v>135</v>
      </c>
    </row>
    <row r="182" spans="1:8" ht="15.75" customHeight="1" x14ac:dyDescent="0.5">
      <c r="A182" s="31">
        <v>181</v>
      </c>
      <c r="B182" s="31">
        <f t="shared" si="4"/>
        <v>4</v>
      </c>
      <c r="C182" s="73">
        <f t="shared" si="5"/>
        <v>45176</v>
      </c>
      <c r="D182" s="33">
        <v>36.32</v>
      </c>
      <c r="E182" s="33">
        <v>2.6</v>
      </c>
      <c r="F182" s="33">
        <v>8.3000000000000007</v>
      </c>
      <c r="G182" s="33">
        <v>13.64</v>
      </c>
      <c r="H182" s="33">
        <v>108</v>
      </c>
    </row>
    <row r="183" spans="1:8" ht="15.75" customHeight="1" x14ac:dyDescent="0.5">
      <c r="A183" s="31">
        <v>182</v>
      </c>
      <c r="B183" s="31">
        <f t="shared" si="4"/>
        <v>5</v>
      </c>
      <c r="C183" s="73">
        <f t="shared" si="5"/>
        <v>45177</v>
      </c>
      <c r="D183" s="33">
        <v>52.7</v>
      </c>
      <c r="E183" s="33">
        <v>5.4</v>
      </c>
      <c r="F183" s="33">
        <v>27.4</v>
      </c>
      <c r="G183" s="33">
        <v>13.59</v>
      </c>
      <c r="H183" s="33">
        <v>124</v>
      </c>
    </row>
    <row r="184" spans="1:8" ht="15.75" customHeight="1" x14ac:dyDescent="0.5">
      <c r="A184" s="31">
        <v>183</v>
      </c>
      <c r="B184" s="31">
        <f t="shared" si="4"/>
        <v>6</v>
      </c>
      <c r="C184" s="73">
        <f t="shared" si="5"/>
        <v>45178</v>
      </c>
      <c r="D184" s="33">
        <v>18.240000000000002</v>
      </c>
      <c r="E184" s="33">
        <v>5.7</v>
      </c>
      <c r="F184" s="33">
        <v>29.7</v>
      </c>
      <c r="G184" s="33">
        <v>16.59</v>
      </c>
      <c r="H184" s="33">
        <v>105</v>
      </c>
    </row>
    <row r="185" spans="1:8" ht="15.75" customHeight="1" x14ac:dyDescent="0.5">
      <c r="A185" s="31">
        <v>184</v>
      </c>
      <c r="B185" s="31">
        <f t="shared" si="4"/>
        <v>7</v>
      </c>
      <c r="C185" s="73">
        <f t="shared" si="5"/>
        <v>45179</v>
      </c>
      <c r="D185" s="33">
        <v>65.52000000000001</v>
      </c>
      <c r="E185" s="33">
        <v>43</v>
      </c>
      <c r="F185" s="33">
        <v>71.8</v>
      </c>
      <c r="G185" s="33">
        <v>21.540000000000006</v>
      </c>
      <c r="H185" s="33">
        <v>272</v>
      </c>
    </row>
    <row r="186" spans="1:8" ht="15.75" customHeight="1" x14ac:dyDescent="0.5">
      <c r="A186" s="31">
        <v>185</v>
      </c>
      <c r="B186" s="31">
        <f t="shared" si="4"/>
        <v>1</v>
      </c>
      <c r="C186" s="73">
        <f t="shared" si="5"/>
        <v>45180</v>
      </c>
      <c r="D186" s="33">
        <v>58.760000000000005</v>
      </c>
      <c r="E186" s="33">
        <v>21.3</v>
      </c>
      <c r="F186" s="33">
        <v>30</v>
      </c>
      <c r="G186" s="33">
        <v>24.03</v>
      </c>
      <c r="H186" s="33">
        <v>188</v>
      </c>
    </row>
    <row r="187" spans="1:8" ht="15.75" customHeight="1" x14ac:dyDescent="0.5">
      <c r="A187" s="31">
        <v>186</v>
      </c>
      <c r="B187" s="31">
        <f t="shared" si="4"/>
        <v>2</v>
      </c>
      <c r="C187" s="73">
        <f t="shared" si="5"/>
        <v>45181</v>
      </c>
      <c r="D187" s="33">
        <v>46</v>
      </c>
      <c r="E187" s="33">
        <v>45.1</v>
      </c>
      <c r="F187" s="33">
        <v>19.600000000000001</v>
      </c>
      <c r="G187" s="33">
        <v>35.209999999999994</v>
      </c>
      <c r="H187" s="33">
        <v>228</v>
      </c>
    </row>
    <row r="188" spans="1:8" ht="15.75" customHeight="1" x14ac:dyDescent="0.5">
      <c r="A188" s="31">
        <v>187</v>
      </c>
      <c r="B188" s="31">
        <f t="shared" si="4"/>
        <v>3</v>
      </c>
      <c r="C188" s="73">
        <f t="shared" si="5"/>
        <v>45182</v>
      </c>
      <c r="D188" s="33">
        <v>35.9</v>
      </c>
      <c r="E188" s="33">
        <v>2.1</v>
      </c>
      <c r="F188" s="33">
        <v>26.6</v>
      </c>
      <c r="G188" s="33">
        <v>4.3599999999999994</v>
      </c>
      <c r="H188" s="33">
        <v>108</v>
      </c>
    </row>
    <row r="189" spans="1:8" ht="15.75" customHeight="1" x14ac:dyDescent="0.5">
      <c r="A189" s="31">
        <v>188</v>
      </c>
      <c r="B189" s="31">
        <f t="shared" si="4"/>
        <v>4</v>
      </c>
      <c r="C189" s="73">
        <f t="shared" si="5"/>
        <v>45183</v>
      </c>
      <c r="D189" s="33">
        <v>41.22</v>
      </c>
      <c r="E189" s="33">
        <v>28.7</v>
      </c>
      <c r="F189" s="33">
        <v>18.2</v>
      </c>
      <c r="G189" s="33">
        <v>26.18</v>
      </c>
      <c r="H189" s="33">
        <v>186</v>
      </c>
    </row>
    <row r="190" spans="1:8" ht="15.75" customHeight="1" x14ac:dyDescent="0.5">
      <c r="A190" s="31">
        <v>189</v>
      </c>
      <c r="B190" s="31">
        <f t="shared" si="4"/>
        <v>5</v>
      </c>
      <c r="C190" s="73">
        <f t="shared" si="5"/>
        <v>45184</v>
      </c>
      <c r="D190" s="33">
        <v>59.2</v>
      </c>
      <c r="E190" s="33">
        <v>13.9</v>
      </c>
      <c r="F190" s="33">
        <v>3.7</v>
      </c>
      <c r="G190" s="33">
        <v>34.070000000000007</v>
      </c>
      <c r="H190" s="33">
        <v>167</v>
      </c>
    </row>
    <row r="191" spans="1:8" ht="15.75" customHeight="1" x14ac:dyDescent="0.5">
      <c r="A191" s="31">
        <v>190</v>
      </c>
      <c r="B191" s="31">
        <f t="shared" si="4"/>
        <v>6</v>
      </c>
      <c r="C191" s="73">
        <f t="shared" si="5"/>
        <v>45185</v>
      </c>
      <c r="D191" s="33">
        <v>6.74</v>
      </c>
      <c r="E191" s="33">
        <v>12.1</v>
      </c>
      <c r="F191" s="33">
        <v>23.4</v>
      </c>
      <c r="G191" s="33">
        <v>18.560000000000002</v>
      </c>
      <c r="H191" s="33">
        <v>83</v>
      </c>
    </row>
    <row r="192" spans="1:8" ht="15.75" customHeight="1" x14ac:dyDescent="0.5">
      <c r="A192" s="31">
        <v>191</v>
      </c>
      <c r="B192" s="31">
        <f t="shared" si="4"/>
        <v>7</v>
      </c>
      <c r="C192" s="73">
        <f t="shared" si="5"/>
        <v>45186</v>
      </c>
      <c r="D192" s="33">
        <v>15.9</v>
      </c>
      <c r="E192" s="33">
        <v>41.1</v>
      </c>
      <c r="F192" s="33">
        <v>5.8</v>
      </c>
      <c r="G192" s="33">
        <v>22.18</v>
      </c>
      <c r="H192" s="33">
        <v>114</v>
      </c>
    </row>
    <row r="193" spans="1:8" ht="15.75" customHeight="1" x14ac:dyDescent="0.5">
      <c r="A193" s="31">
        <v>192</v>
      </c>
      <c r="B193" s="31">
        <f t="shared" si="4"/>
        <v>1</v>
      </c>
      <c r="C193" s="73">
        <f t="shared" si="5"/>
        <v>45187</v>
      </c>
      <c r="D193" s="33">
        <v>21.1</v>
      </c>
      <c r="E193" s="33">
        <v>10.8</v>
      </c>
      <c r="F193" s="33">
        <v>6</v>
      </c>
      <c r="G193" s="33">
        <v>10.549999999999999</v>
      </c>
      <c r="H193" s="33">
        <v>116</v>
      </c>
    </row>
    <row r="194" spans="1:8" ht="15.75" customHeight="1" x14ac:dyDescent="0.5">
      <c r="A194" s="31">
        <v>193</v>
      </c>
      <c r="B194" s="31">
        <f t="shared" ref="B194:B201" si="6">WEEKDAY(C194,2)</f>
        <v>2</v>
      </c>
      <c r="C194" s="73">
        <f t="shared" ref="C194:C200" si="7">+C195-1</f>
        <v>45188</v>
      </c>
      <c r="D194" s="33">
        <v>12.44</v>
      </c>
      <c r="E194" s="33">
        <v>4.0999999999999996</v>
      </c>
      <c r="F194" s="33">
        <v>31.6</v>
      </c>
      <c r="G194" s="33">
        <v>11.129999999999999</v>
      </c>
      <c r="H194" s="33">
        <v>62</v>
      </c>
    </row>
    <row r="195" spans="1:8" ht="15.75" customHeight="1" x14ac:dyDescent="0.5">
      <c r="A195" s="31">
        <v>194</v>
      </c>
      <c r="B195" s="31">
        <f t="shared" si="6"/>
        <v>3</v>
      </c>
      <c r="C195" s="73">
        <f t="shared" si="7"/>
        <v>45189</v>
      </c>
      <c r="D195" s="33">
        <v>41.36</v>
      </c>
      <c r="E195" s="33">
        <v>42</v>
      </c>
      <c r="F195" s="33">
        <v>3.6</v>
      </c>
      <c r="G195" s="33">
        <v>36.24</v>
      </c>
      <c r="H195" s="33">
        <v>204</v>
      </c>
    </row>
    <row r="196" spans="1:8" ht="15.75" customHeight="1" x14ac:dyDescent="0.5">
      <c r="A196" s="31">
        <v>195</v>
      </c>
      <c r="B196" s="31">
        <f t="shared" si="6"/>
        <v>4</v>
      </c>
      <c r="C196" s="73">
        <f t="shared" si="7"/>
        <v>45190</v>
      </c>
      <c r="D196" s="33">
        <v>32.94</v>
      </c>
      <c r="E196" s="33">
        <v>35.6</v>
      </c>
      <c r="F196" s="33">
        <v>6</v>
      </c>
      <c r="G196" s="33">
        <v>17.100000000000001</v>
      </c>
      <c r="H196" s="33">
        <v>184</v>
      </c>
    </row>
    <row r="197" spans="1:8" ht="15.75" customHeight="1" x14ac:dyDescent="0.5">
      <c r="A197" s="31">
        <v>196</v>
      </c>
      <c r="B197" s="31">
        <f t="shared" si="6"/>
        <v>5</v>
      </c>
      <c r="C197" s="73">
        <f t="shared" si="7"/>
        <v>45191</v>
      </c>
      <c r="D197" s="33">
        <v>14.64</v>
      </c>
      <c r="E197" s="33">
        <v>3.7</v>
      </c>
      <c r="F197" s="33">
        <v>13.8</v>
      </c>
      <c r="G197" s="33">
        <v>0.14999999999999947</v>
      </c>
      <c r="H197" s="33">
        <v>91</v>
      </c>
    </row>
    <row r="198" spans="1:8" ht="15.75" customHeight="1" x14ac:dyDescent="0.5">
      <c r="A198" s="31">
        <v>197</v>
      </c>
      <c r="B198" s="31">
        <f t="shared" si="6"/>
        <v>6</v>
      </c>
      <c r="C198" s="73">
        <f t="shared" si="7"/>
        <v>45192</v>
      </c>
      <c r="D198" s="33">
        <v>27.84</v>
      </c>
      <c r="E198" s="33">
        <v>4.9000000000000004</v>
      </c>
      <c r="F198" s="33">
        <v>8.1</v>
      </c>
      <c r="G198" s="33">
        <v>8.6300000000000008</v>
      </c>
      <c r="H198" s="33">
        <v>116</v>
      </c>
    </row>
    <row r="199" spans="1:8" ht="15.75" customHeight="1" x14ac:dyDescent="0.5">
      <c r="A199" s="31">
        <v>198</v>
      </c>
      <c r="B199" s="31">
        <f t="shared" si="6"/>
        <v>7</v>
      </c>
      <c r="C199" s="73">
        <f t="shared" si="7"/>
        <v>45193</v>
      </c>
      <c r="D199" s="33">
        <v>44.4</v>
      </c>
      <c r="E199" s="33">
        <v>9.3000000000000007</v>
      </c>
      <c r="F199" s="33">
        <v>6.4</v>
      </c>
      <c r="G199" s="33">
        <v>19.79</v>
      </c>
      <c r="H199" s="33">
        <v>139</v>
      </c>
    </row>
    <row r="200" spans="1:8" ht="15.75" customHeight="1" x14ac:dyDescent="0.5">
      <c r="A200" s="31">
        <v>199</v>
      </c>
      <c r="B200" s="31">
        <f t="shared" si="6"/>
        <v>1</v>
      </c>
      <c r="C200" s="73">
        <f t="shared" si="7"/>
        <v>45194</v>
      </c>
      <c r="D200" s="33">
        <v>57.720000000000006</v>
      </c>
      <c r="E200" s="33">
        <v>42</v>
      </c>
      <c r="F200" s="33">
        <v>66.2</v>
      </c>
      <c r="G200" s="33">
        <v>22.879999999999995</v>
      </c>
      <c r="H200" s="33">
        <v>235.5</v>
      </c>
    </row>
    <row r="201" spans="1:8" ht="15.75" customHeight="1" x14ac:dyDescent="0.5">
      <c r="A201" s="31">
        <v>200</v>
      </c>
      <c r="B201" s="31">
        <f t="shared" si="6"/>
        <v>2</v>
      </c>
      <c r="C201" s="73">
        <v>45195</v>
      </c>
      <c r="D201" s="33">
        <v>52.42</v>
      </c>
      <c r="E201" s="33">
        <v>8.6</v>
      </c>
      <c r="F201" s="33">
        <v>8.6999999999999993</v>
      </c>
      <c r="G201" s="33">
        <v>1</v>
      </c>
      <c r="H201" s="33">
        <v>139</v>
      </c>
    </row>
    <row r="202" spans="1:8" ht="15.75" customHeight="1" x14ac:dyDescent="0.5"/>
    <row r="203" spans="1:8" ht="15.75" customHeight="1" x14ac:dyDescent="0.5"/>
    <row r="204" spans="1:8" ht="15.75" customHeight="1" x14ac:dyDescent="0.5"/>
    <row r="205" spans="1:8" ht="15.75" customHeight="1" x14ac:dyDescent="0.5"/>
    <row r="206" spans="1:8" ht="15.75" customHeight="1" x14ac:dyDescent="0.5"/>
    <row r="207" spans="1:8" ht="15.75" customHeight="1" x14ac:dyDescent="0.5"/>
    <row r="208" spans="1:8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autoFilter ref="A1:H1" xr:uid="{DC51644F-52B2-E24D-85DA-AFB8901C6F30}">
    <sortState xmlns:xlrd2="http://schemas.microsoft.com/office/spreadsheetml/2017/richdata2" ref="A2:H201">
      <sortCondition ref="A1:A201"/>
    </sortState>
  </autoFilter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4DBDF-B0AF-A74D-86C2-EFCA3DE8C2A1}">
  <dimension ref="A1:Q32"/>
  <sheetViews>
    <sheetView showGridLines="0" zoomScale="72" zoomScaleNormal="170" workbookViewId="0">
      <selection activeCell="L8" sqref="L8"/>
    </sheetView>
  </sheetViews>
  <sheetFormatPr defaultColWidth="11" defaultRowHeight="15.75" x14ac:dyDescent="0.5"/>
  <cols>
    <col min="1" max="1" width="17.125" bestFit="1" customWidth="1"/>
    <col min="3" max="3" width="13.4375" bestFit="1" customWidth="1"/>
    <col min="4" max="4" width="12.1875" bestFit="1" customWidth="1"/>
    <col min="5" max="5" width="19.875" bestFit="1" customWidth="1"/>
    <col min="12" max="12" width="11" customWidth="1"/>
    <col min="15" max="15" width="10.625" customWidth="1"/>
  </cols>
  <sheetData>
    <row r="1" spans="1:16" x14ac:dyDescent="0.5">
      <c r="A1" t="s">
        <v>23</v>
      </c>
    </row>
    <row r="2" spans="1:16" ht="16.149999999999999" thickBot="1" x14ac:dyDescent="0.55000000000000004"/>
    <row r="3" spans="1:16" x14ac:dyDescent="0.5">
      <c r="A3" s="10" t="s">
        <v>24</v>
      </c>
      <c r="B3" s="10"/>
      <c r="L3" s="35"/>
      <c r="M3" s="35"/>
      <c r="N3" s="35"/>
      <c r="O3" s="35"/>
      <c r="P3" s="35"/>
    </row>
    <row r="4" spans="1:16" x14ac:dyDescent="0.5">
      <c r="A4" s="7" t="s">
        <v>25</v>
      </c>
      <c r="B4" s="7">
        <v>0.77771414820918516</v>
      </c>
      <c r="L4" s="36"/>
      <c r="M4" s="36"/>
      <c r="N4" s="36"/>
      <c r="O4" s="36"/>
      <c r="P4" s="36"/>
    </row>
    <row r="5" spans="1:16" x14ac:dyDescent="0.5">
      <c r="A5" s="7" t="s">
        <v>26</v>
      </c>
      <c r="B5" s="7">
        <v>0.60483929632473843</v>
      </c>
      <c r="L5" s="36"/>
      <c r="M5" s="36"/>
      <c r="N5" s="36"/>
      <c r="O5" s="36"/>
      <c r="P5" s="36"/>
    </row>
    <row r="6" spans="1:16" x14ac:dyDescent="0.5">
      <c r="A6" s="7" t="s">
        <v>27</v>
      </c>
      <c r="B6" s="7">
        <v>0.59673343573652793</v>
      </c>
      <c r="L6" s="36"/>
      <c r="M6" s="36"/>
      <c r="N6" s="36"/>
      <c r="O6" s="36"/>
      <c r="P6" s="36"/>
    </row>
    <row r="7" spans="1:16" x14ac:dyDescent="0.5">
      <c r="A7" s="7" t="s">
        <v>28</v>
      </c>
      <c r="B7" s="7">
        <v>33.596140102079168</v>
      </c>
      <c r="L7" s="36"/>
      <c r="M7" s="36"/>
      <c r="N7" s="36"/>
      <c r="O7" s="36"/>
      <c r="P7" s="36"/>
    </row>
    <row r="8" spans="1:16" ht="16.149999999999999" thickBot="1" x14ac:dyDescent="0.55000000000000004">
      <c r="A8" s="8" t="s">
        <v>29</v>
      </c>
      <c r="B8" s="8">
        <v>200</v>
      </c>
    </row>
    <row r="10" spans="1:16" ht="16.149999999999999" thickBot="1" x14ac:dyDescent="0.55000000000000004">
      <c r="A10" t="s">
        <v>30</v>
      </c>
    </row>
    <row r="11" spans="1:16" x14ac:dyDescent="0.5">
      <c r="A11" s="9"/>
      <c r="B11" s="9" t="s">
        <v>35</v>
      </c>
      <c r="C11" s="9" t="s">
        <v>36</v>
      </c>
      <c r="D11" s="9" t="s">
        <v>37</v>
      </c>
      <c r="E11" s="9" t="s">
        <v>38</v>
      </c>
      <c r="F11" s="9" t="s">
        <v>39</v>
      </c>
    </row>
    <row r="12" spans="1:16" x14ac:dyDescent="0.5">
      <c r="A12" s="7" t="s">
        <v>31</v>
      </c>
      <c r="B12" s="7">
        <v>4</v>
      </c>
      <c r="C12" s="7">
        <v>336883.41280251567</v>
      </c>
      <c r="D12" s="7">
        <v>84220.853200628917</v>
      </c>
      <c r="E12" s="7">
        <v>74.617530087359526</v>
      </c>
      <c r="F12" s="7">
        <v>2.9066179299475724E-38</v>
      </c>
    </row>
    <row r="13" spans="1:16" x14ac:dyDescent="0.5">
      <c r="A13" s="7" t="s">
        <v>32</v>
      </c>
      <c r="B13" s="7">
        <v>195</v>
      </c>
      <c r="C13" s="7">
        <v>220096.62280291377</v>
      </c>
      <c r="D13" s="7">
        <v>1128.7006297585322</v>
      </c>
      <c r="E13" s="7"/>
      <c r="F13" s="7"/>
    </row>
    <row r="14" spans="1:16" ht="16.149999999999999" thickBot="1" x14ac:dyDescent="0.55000000000000004">
      <c r="A14" s="8" t="s">
        <v>33</v>
      </c>
      <c r="B14" s="8">
        <v>199</v>
      </c>
      <c r="C14" s="8">
        <v>556980.03560542944</v>
      </c>
      <c r="D14" s="8"/>
      <c r="E14" s="8"/>
      <c r="F14" s="8"/>
    </row>
    <row r="15" spans="1:16" ht="16.149999999999999" thickBot="1" x14ac:dyDescent="0.55000000000000004"/>
    <row r="16" spans="1:16" x14ac:dyDescent="0.5">
      <c r="A16" s="9"/>
      <c r="B16" s="9" t="s">
        <v>40</v>
      </c>
      <c r="C16" s="9" t="s">
        <v>28</v>
      </c>
      <c r="D16" s="9" t="s">
        <v>41</v>
      </c>
      <c r="E16" s="9" t="s">
        <v>42</v>
      </c>
      <c r="F16" s="9" t="s">
        <v>43</v>
      </c>
      <c r="G16" s="9" t="s">
        <v>44</v>
      </c>
      <c r="H16" s="9" t="s">
        <v>45</v>
      </c>
      <c r="I16" s="9" t="s">
        <v>46</v>
      </c>
      <c r="L16" s="7"/>
      <c r="M16" s="7"/>
    </row>
    <row r="17" spans="1:17" x14ac:dyDescent="0.5">
      <c r="A17" s="7" t="s">
        <v>34</v>
      </c>
      <c r="B17" s="7">
        <v>46.12390184917767</v>
      </c>
      <c r="C17" s="7">
        <v>7.2049810755637242</v>
      </c>
      <c r="D17" s="7">
        <v>6.4016687018943896</v>
      </c>
      <c r="E17" s="7">
        <v>1.1204263399809811E-9</v>
      </c>
      <c r="F17" s="7">
        <v>31.914208982638407</v>
      </c>
      <c r="G17" s="7">
        <v>60.333594715716934</v>
      </c>
      <c r="H17" s="7">
        <v>31.914208982638407</v>
      </c>
      <c r="I17" s="7">
        <v>60.333594715716934</v>
      </c>
      <c r="L17" s="7"/>
      <c r="M17" s="7"/>
    </row>
    <row r="18" spans="1:17" x14ac:dyDescent="0.5">
      <c r="A18" s="7" t="s">
        <v>12</v>
      </c>
      <c r="B18" s="7">
        <v>1.430827385754045</v>
      </c>
      <c r="C18" s="7">
        <v>0.14395525999977141</v>
      </c>
      <c r="D18" s="7">
        <v>9.9393894030431191</v>
      </c>
      <c r="E18" s="7">
        <v>4.2986565961654864E-19</v>
      </c>
      <c r="F18" s="7">
        <v>1.1469182387810934</v>
      </c>
      <c r="G18" s="7">
        <v>1.7147365327269966</v>
      </c>
      <c r="H18" s="7">
        <v>1.1469182387810934</v>
      </c>
      <c r="I18" s="7">
        <v>1.7147365327269966</v>
      </c>
      <c r="L18" s="7"/>
      <c r="M18" s="7"/>
    </row>
    <row r="19" spans="1:17" x14ac:dyDescent="0.5">
      <c r="A19" s="7" t="s">
        <v>13</v>
      </c>
      <c r="B19" s="7">
        <v>1.3678743456141678</v>
      </c>
      <c r="C19" s="7">
        <v>0.18877262003899664</v>
      </c>
      <c r="D19" s="7">
        <v>7.2461480130518519</v>
      </c>
      <c r="E19" s="7">
        <v>9.7469354506524147E-12</v>
      </c>
      <c r="F19" s="7">
        <v>0.99557621960469955</v>
      </c>
      <c r="G19" s="7">
        <v>1.740172471623636</v>
      </c>
      <c r="H19" s="7">
        <v>0.99557621960469955</v>
      </c>
      <c r="I19" s="7">
        <v>1.740172471623636</v>
      </c>
      <c r="L19" s="7"/>
      <c r="M19" s="7"/>
    </row>
    <row r="20" spans="1:17" x14ac:dyDescent="0.5">
      <c r="A20" s="7" t="s">
        <v>14</v>
      </c>
      <c r="B20" s="7">
        <v>0.24470861170542516</v>
      </c>
      <c r="C20" s="7">
        <v>0.14135090430840938</v>
      </c>
      <c r="D20" s="7">
        <v>1.7312136268438909</v>
      </c>
      <c r="E20" s="7">
        <v>8.4995353875357241E-2</v>
      </c>
      <c r="F20" s="7">
        <v>-3.4064214422078271E-2</v>
      </c>
      <c r="G20" s="7">
        <v>0.52348143783292855</v>
      </c>
      <c r="H20" s="7">
        <v>-3.4064214422078271E-2</v>
      </c>
      <c r="I20" s="7">
        <v>0.52348143783292855</v>
      </c>
    </row>
    <row r="21" spans="1:17" ht="16.149999999999999" thickBot="1" x14ac:dyDescent="0.55000000000000004">
      <c r="A21" s="8" t="s">
        <v>15</v>
      </c>
      <c r="B21" s="8">
        <v>0.6855684088428724</v>
      </c>
      <c r="C21" s="8">
        <v>0.33228450979302127</v>
      </c>
      <c r="D21" s="8">
        <v>2.0631970153225327</v>
      </c>
      <c r="E21" s="8">
        <v>4.0418709411545316E-2</v>
      </c>
      <c r="F21" s="8">
        <v>3.0235552455326276E-2</v>
      </c>
      <c r="G21" s="8">
        <v>1.3409012652304186</v>
      </c>
      <c r="H21" s="8">
        <v>3.0235552455326276E-2</v>
      </c>
      <c r="I21" s="8">
        <v>1.3409012652304186</v>
      </c>
      <c r="O21" s="3"/>
      <c r="P21" s="3"/>
      <c r="Q21" s="3"/>
    </row>
    <row r="24" spans="1:17" ht="24" customHeight="1" x14ac:dyDescent="0.5"/>
    <row r="25" spans="1:17" ht="30.4" customHeight="1" x14ac:dyDescent="0.5">
      <c r="A25" s="108" t="s">
        <v>75</v>
      </c>
      <c r="B25" s="108"/>
      <c r="C25" s="108"/>
      <c r="D25" s="108"/>
      <c r="E25" s="108"/>
    </row>
    <row r="26" spans="1:17" ht="31.5" x14ac:dyDescent="0.5">
      <c r="A26" s="109" t="s">
        <v>50</v>
      </c>
      <c r="B26" s="109" t="s">
        <v>40</v>
      </c>
      <c r="C26" s="109" t="s">
        <v>76</v>
      </c>
      <c r="D26" s="109" t="s">
        <v>77</v>
      </c>
      <c r="E26" s="109" t="s">
        <v>78</v>
      </c>
    </row>
    <row r="27" spans="1:17" ht="27.4" customHeight="1" x14ac:dyDescent="0.5">
      <c r="A27" s="110" t="s">
        <v>34</v>
      </c>
      <c r="B27" s="111">
        <v>46.12390184917767</v>
      </c>
      <c r="C27" s="112"/>
      <c r="D27" s="112"/>
      <c r="E27" s="112"/>
    </row>
    <row r="28" spans="1:17" ht="27.4" customHeight="1" x14ac:dyDescent="0.5">
      <c r="A28" s="110" t="s">
        <v>12</v>
      </c>
      <c r="B28" s="111">
        <v>1.430827385754045</v>
      </c>
      <c r="C28" s="115">
        <v>40</v>
      </c>
      <c r="D28" s="115">
        <f>B28*C28+$B$27</f>
        <v>103.35699727933947</v>
      </c>
      <c r="E28" s="113" t="s">
        <v>79</v>
      </c>
    </row>
    <row r="29" spans="1:17" ht="27.4" customHeight="1" x14ac:dyDescent="0.5">
      <c r="A29" s="110" t="s">
        <v>13</v>
      </c>
      <c r="B29" s="111">
        <v>1.3678743456141678</v>
      </c>
      <c r="C29" s="115">
        <v>35</v>
      </c>
      <c r="D29" s="115">
        <f>B29*C29+$B$27</f>
        <v>93.999503945673553</v>
      </c>
      <c r="E29" s="113" t="s">
        <v>80</v>
      </c>
    </row>
    <row r="30" spans="1:17" ht="27.4" customHeight="1" x14ac:dyDescent="0.5">
      <c r="A30" s="110" t="s">
        <v>14</v>
      </c>
      <c r="B30" s="111">
        <v>0.24470861170542516</v>
      </c>
      <c r="C30" s="115">
        <v>15</v>
      </c>
      <c r="D30" s="115">
        <f>B30*C30+$B$27</f>
        <v>49.794531024759046</v>
      </c>
      <c r="E30" s="113" t="s">
        <v>81</v>
      </c>
    </row>
    <row r="31" spans="1:17" ht="27.4" customHeight="1" x14ac:dyDescent="0.5">
      <c r="A31" s="110" t="s">
        <v>15</v>
      </c>
      <c r="B31" s="111">
        <v>0.6855684088428724</v>
      </c>
      <c r="C31" s="115">
        <v>10</v>
      </c>
      <c r="D31" s="115">
        <f>B31*C31+$B$27</f>
        <v>52.979585937606394</v>
      </c>
      <c r="E31" s="113" t="s">
        <v>82</v>
      </c>
    </row>
    <row r="32" spans="1:17" ht="25.5" customHeight="1" x14ac:dyDescent="0.5">
      <c r="A32" s="114" t="s">
        <v>83</v>
      </c>
      <c r="B32" s="110"/>
      <c r="C32" s="110"/>
      <c r="D32" s="116">
        <f>SUM(D28:D31)</f>
        <v>300.13061818737845</v>
      </c>
      <c r="E32" s="110"/>
    </row>
  </sheetData>
  <mergeCells count="1">
    <mergeCell ref="A25:E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D1EEF-B633-4F7A-9BC4-667460CDCF10}">
  <dimension ref="A1:R49"/>
  <sheetViews>
    <sheetView showGridLines="0" zoomScale="80" zoomScaleNormal="101" workbookViewId="0">
      <selection activeCell="H11" sqref="H11"/>
    </sheetView>
  </sheetViews>
  <sheetFormatPr defaultColWidth="11" defaultRowHeight="15.75" x14ac:dyDescent="0.5"/>
  <cols>
    <col min="1" max="1" width="29.625" bestFit="1" customWidth="1"/>
    <col min="2" max="2" width="13.25" bestFit="1" customWidth="1"/>
    <col min="3" max="3" width="22.6875" bestFit="1" customWidth="1"/>
    <col min="4" max="4" width="20" customWidth="1"/>
    <col min="6" max="6" width="14.5" bestFit="1" customWidth="1"/>
  </cols>
  <sheetData>
    <row r="1" spans="1:4" ht="15.75" customHeight="1" x14ac:dyDescent="0.5">
      <c r="A1" s="127" t="s">
        <v>108</v>
      </c>
      <c r="B1" s="128"/>
      <c r="C1" s="127" t="s">
        <v>6</v>
      </c>
      <c r="D1" s="128"/>
    </row>
    <row r="2" spans="1:4" ht="15.75" customHeight="1" x14ac:dyDescent="0.5">
      <c r="A2" s="129"/>
      <c r="B2" s="130"/>
      <c r="C2" s="129"/>
      <c r="D2" s="130"/>
    </row>
    <row r="3" spans="1:4" x14ac:dyDescent="0.5">
      <c r="A3" s="131" t="s">
        <v>7</v>
      </c>
      <c r="B3" s="132"/>
      <c r="C3" s="135">
        <v>0.42</v>
      </c>
      <c r="D3" s="136"/>
    </row>
    <row r="4" spans="1:4" x14ac:dyDescent="0.5">
      <c r="A4" s="131"/>
      <c r="B4" s="132"/>
      <c r="C4" s="135"/>
      <c r="D4" s="136"/>
    </row>
    <row r="5" spans="1:4" ht="16.149999999999999" thickBot="1" x14ac:dyDescent="0.55000000000000004">
      <c r="A5" s="133"/>
      <c r="B5" s="134"/>
      <c r="C5" s="137"/>
      <c r="D5" s="138"/>
    </row>
    <row r="6" spans="1:4" ht="16.149999999999999" thickBot="1" x14ac:dyDescent="0.55000000000000004"/>
    <row r="7" spans="1:4" ht="21" x14ac:dyDescent="0.5">
      <c r="A7" s="139" t="s">
        <v>92</v>
      </c>
      <c r="B7" s="140"/>
      <c r="C7" s="140"/>
      <c r="D7" s="141"/>
    </row>
    <row r="8" spans="1:4" ht="31.5" x14ac:dyDescent="0.5">
      <c r="A8" s="142" t="s">
        <v>84</v>
      </c>
      <c r="B8" s="125" t="s">
        <v>85</v>
      </c>
      <c r="C8" s="125" t="s">
        <v>86</v>
      </c>
      <c r="D8" s="143" t="s">
        <v>87</v>
      </c>
    </row>
    <row r="9" spans="1:4" x14ac:dyDescent="0.5">
      <c r="A9" s="144" t="s">
        <v>88</v>
      </c>
      <c r="B9" s="123">
        <v>1000</v>
      </c>
      <c r="C9" s="124">
        <v>1</v>
      </c>
      <c r="D9" s="145">
        <f>B9/B9</f>
        <v>1</v>
      </c>
    </row>
    <row r="10" spans="1:4" x14ac:dyDescent="0.5">
      <c r="A10" s="144" t="s">
        <v>89</v>
      </c>
      <c r="B10" s="123">
        <v>300</v>
      </c>
      <c r="C10" s="124">
        <f>B10/B9</f>
        <v>0.3</v>
      </c>
      <c r="D10" s="145">
        <f>B10/$B$9</f>
        <v>0.3</v>
      </c>
    </row>
    <row r="11" spans="1:4" x14ac:dyDescent="0.5">
      <c r="A11" s="144" t="s">
        <v>90</v>
      </c>
      <c r="B11" s="123">
        <v>240</v>
      </c>
      <c r="C11" s="124">
        <f>B11/B10</f>
        <v>0.8</v>
      </c>
      <c r="D11" s="145">
        <f t="shared" ref="D11:D12" si="0">B11/$B$9</f>
        <v>0.24</v>
      </c>
    </row>
    <row r="12" spans="1:4" ht="16.149999999999999" thickBot="1" x14ac:dyDescent="0.55000000000000004">
      <c r="A12" s="146" t="s">
        <v>91</v>
      </c>
      <c r="B12" s="147">
        <v>16</v>
      </c>
      <c r="C12" s="148">
        <f>B12/B11</f>
        <v>6.6666666666666666E-2</v>
      </c>
      <c r="D12" s="149">
        <f t="shared" si="0"/>
        <v>1.6E-2</v>
      </c>
    </row>
    <row r="13" spans="1:4" ht="16.149999999999999" thickBot="1" x14ac:dyDescent="0.55000000000000004"/>
    <row r="14" spans="1:4" ht="21" x14ac:dyDescent="0.5">
      <c r="A14" s="139" t="s">
        <v>93</v>
      </c>
      <c r="B14" s="150"/>
      <c r="C14" s="150"/>
      <c r="D14" s="151"/>
    </row>
    <row r="15" spans="1:4" x14ac:dyDescent="0.5">
      <c r="A15" s="142" t="s">
        <v>84</v>
      </c>
      <c r="B15" s="125" t="s">
        <v>94</v>
      </c>
      <c r="C15" s="125" t="s">
        <v>95</v>
      </c>
      <c r="D15" s="143" t="s">
        <v>96</v>
      </c>
    </row>
    <row r="16" spans="1:4" x14ac:dyDescent="0.5">
      <c r="A16" s="144" t="s">
        <v>88</v>
      </c>
      <c r="B16" s="126">
        <v>1000</v>
      </c>
      <c r="C16" s="123">
        <v>1000</v>
      </c>
      <c r="D16" s="152">
        <f>B16/C16</f>
        <v>1</v>
      </c>
    </row>
    <row r="17" spans="1:18" x14ac:dyDescent="0.5">
      <c r="A17" s="144" t="s">
        <v>89</v>
      </c>
      <c r="B17" s="126">
        <v>1000</v>
      </c>
      <c r="C17" s="123">
        <v>300</v>
      </c>
      <c r="D17" s="152">
        <f t="shared" ref="D17:D19" si="1">B17/C17</f>
        <v>3.3333333333333335</v>
      </c>
    </row>
    <row r="18" spans="1:18" x14ac:dyDescent="0.5">
      <c r="A18" s="144" t="s">
        <v>90</v>
      </c>
      <c r="B18" s="126">
        <v>1000</v>
      </c>
      <c r="C18" s="123">
        <v>240</v>
      </c>
      <c r="D18" s="152">
        <f t="shared" si="1"/>
        <v>4.166666666666667</v>
      </c>
    </row>
    <row r="19" spans="1:18" ht="16.149999999999999" thickBot="1" x14ac:dyDescent="0.55000000000000004">
      <c r="A19" s="146" t="s">
        <v>91</v>
      </c>
      <c r="B19" s="153">
        <v>1000</v>
      </c>
      <c r="C19" s="147">
        <v>16</v>
      </c>
      <c r="D19" s="154">
        <f t="shared" si="1"/>
        <v>62.5</v>
      </c>
    </row>
    <row r="20" spans="1:18" ht="16.149999999999999" thickBot="1" x14ac:dyDescent="0.55000000000000004">
      <c r="A20" s="117"/>
    </row>
    <row r="21" spans="1:18" ht="16.149999999999999" thickBot="1" x14ac:dyDescent="0.55000000000000004">
      <c r="A21" s="159" t="s">
        <v>107</v>
      </c>
      <c r="B21" s="160">
        <f>D19</f>
        <v>62.5</v>
      </c>
    </row>
    <row r="22" spans="1:18" ht="16.149999999999999" thickBot="1" x14ac:dyDescent="0.55000000000000004">
      <c r="A22" s="118"/>
    </row>
    <row r="23" spans="1:18" ht="21" x14ac:dyDescent="0.5">
      <c r="A23" s="139" t="s">
        <v>97</v>
      </c>
      <c r="B23" s="151"/>
      <c r="C23" s="119"/>
      <c r="D23" s="119"/>
    </row>
    <row r="24" spans="1:18" ht="15.75" customHeight="1" x14ac:dyDescent="0.5">
      <c r="A24" s="142" t="s">
        <v>98</v>
      </c>
      <c r="B24" s="143" t="s">
        <v>99</v>
      </c>
      <c r="C24" s="2"/>
      <c r="E24" s="120"/>
      <c r="F24" s="120"/>
      <c r="G24" s="120"/>
      <c r="H24" s="120"/>
      <c r="J24" s="120"/>
      <c r="K24" s="120"/>
      <c r="L24" s="120"/>
      <c r="M24" s="120"/>
      <c r="O24" s="12"/>
      <c r="P24" s="12"/>
      <c r="Q24" s="12"/>
      <c r="R24" s="12"/>
    </row>
    <row r="25" spans="1:18" ht="15.75" customHeight="1" x14ac:dyDescent="0.5">
      <c r="A25" s="144" t="s">
        <v>100</v>
      </c>
      <c r="B25" s="145">
        <f>1-C3</f>
        <v>0.58000000000000007</v>
      </c>
      <c r="C25" s="11"/>
      <c r="E25" s="120"/>
      <c r="F25" s="120"/>
      <c r="G25" s="120"/>
      <c r="H25" s="120"/>
      <c r="J25" s="120"/>
      <c r="K25" s="120"/>
      <c r="L25" s="120"/>
      <c r="M25" s="120"/>
      <c r="O25" s="12"/>
      <c r="P25" s="12"/>
      <c r="Q25" s="12"/>
      <c r="R25" s="12"/>
    </row>
    <row r="26" spans="1:18" ht="15.75" customHeight="1" x14ac:dyDescent="0.5">
      <c r="A26" s="144" t="s">
        <v>101</v>
      </c>
      <c r="B26" s="155">
        <f>1/B25</f>
        <v>1.7241379310344827</v>
      </c>
      <c r="C26" s="11"/>
      <c r="F26" s="1"/>
      <c r="G26" s="1"/>
      <c r="H26" s="1"/>
      <c r="K26" s="1"/>
      <c r="L26" s="1"/>
      <c r="M26" s="1"/>
      <c r="P26" s="1"/>
      <c r="Q26" s="1"/>
      <c r="R26" s="1"/>
    </row>
    <row r="27" spans="1:18" ht="15.75" customHeight="1" x14ac:dyDescent="0.5">
      <c r="A27" s="144" t="s">
        <v>102</v>
      </c>
      <c r="B27" s="155">
        <f>B26*12</f>
        <v>20.689655172413794</v>
      </c>
      <c r="C27" s="11"/>
      <c r="E27" s="122"/>
      <c r="F27" s="122"/>
      <c r="G27" s="122"/>
      <c r="H27" s="122"/>
      <c r="J27" s="121"/>
      <c r="K27" s="1"/>
      <c r="L27" s="1"/>
      <c r="M27" s="1"/>
      <c r="O27" s="13"/>
      <c r="P27" s="13"/>
      <c r="Q27" s="13"/>
      <c r="R27" s="13"/>
    </row>
    <row r="28" spans="1:18" ht="15.75" customHeight="1" x14ac:dyDescent="0.5">
      <c r="A28" s="144" t="s">
        <v>103</v>
      </c>
      <c r="B28" s="152">
        <v>15</v>
      </c>
      <c r="C28" s="11"/>
      <c r="E28" s="122"/>
      <c r="F28" s="122"/>
      <c r="G28" s="122"/>
      <c r="H28" s="122"/>
      <c r="J28" s="1"/>
      <c r="K28" s="1"/>
      <c r="L28" s="1"/>
      <c r="M28" s="1"/>
      <c r="O28" s="13"/>
      <c r="P28" s="13"/>
      <c r="Q28" s="13"/>
      <c r="R28" s="13"/>
    </row>
    <row r="29" spans="1:18" ht="15.75" customHeight="1" thickBot="1" x14ac:dyDescent="0.55000000000000004">
      <c r="A29" s="156" t="s">
        <v>47</v>
      </c>
      <c r="B29" s="157">
        <f>B28*B27</f>
        <v>310.34482758620692</v>
      </c>
      <c r="E29" s="122"/>
      <c r="F29" s="122"/>
      <c r="G29" s="122"/>
      <c r="H29" s="122"/>
      <c r="J29" s="1"/>
      <c r="K29" s="1"/>
      <c r="L29" s="1"/>
      <c r="M29" s="1"/>
      <c r="O29" s="13"/>
      <c r="P29" s="13"/>
      <c r="Q29" s="13"/>
      <c r="R29" s="13"/>
    </row>
    <row r="30" spans="1:18" ht="15.75" customHeight="1" thickBot="1" x14ac:dyDescent="0.55000000000000004">
      <c r="E30" s="122"/>
      <c r="F30" s="122"/>
      <c r="G30" s="122"/>
      <c r="H30" s="122"/>
      <c r="J30" s="1"/>
      <c r="K30" s="1"/>
      <c r="L30" s="1"/>
      <c r="M30" s="1"/>
      <c r="O30" s="13"/>
      <c r="P30" s="13"/>
      <c r="Q30" s="13"/>
      <c r="R30" s="13"/>
    </row>
    <row r="31" spans="1:18" ht="21" x14ac:dyDescent="0.5">
      <c r="A31" s="139" t="s">
        <v>104</v>
      </c>
      <c r="B31" s="151"/>
    </row>
    <row r="32" spans="1:18" ht="16.05" customHeight="1" x14ac:dyDescent="0.5">
      <c r="A32" s="142" t="s">
        <v>98</v>
      </c>
      <c r="B32" s="143" t="s">
        <v>99</v>
      </c>
      <c r="E32" s="1"/>
      <c r="F32" s="1"/>
      <c r="G32" s="1"/>
      <c r="H32" s="1"/>
    </row>
    <row r="33" spans="1:8" ht="16.05" customHeight="1" x14ac:dyDescent="0.5">
      <c r="A33" s="144" t="s">
        <v>105</v>
      </c>
      <c r="B33" s="158">
        <f>B29/B21</f>
        <v>4.9655172413793105</v>
      </c>
      <c r="E33" s="1"/>
      <c r="F33" s="1"/>
      <c r="G33" s="1"/>
      <c r="H33" s="1"/>
    </row>
    <row r="34" spans="1:8" ht="16.05" customHeight="1" thickBot="1" x14ac:dyDescent="0.55000000000000004">
      <c r="A34" s="146" t="s">
        <v>106</v>
      </c>
      <c r="B34" s="161" t="str">
        <f>IF(B33&gt;3,"✅ Feasible","Unfeasible")</f>
        <v>✅ Feasible</v>
      </c>
      <c r="E34" s="1"/>
      <c r="F34" s="1"/>
      <c r="G34" s="1"/>
      <c r="H34" s="1"/>
    </row>
    <row r="35" spans="1:8" x14ac:dyDescent="0.5">
      <c r="F35" s="3"/>
    </row>
    <row r="40" spans="1:8" x14ac:dyDescent="0.5">
      <c r="A40" s="34"/>
    </row>
    <row r="42" spans="1:8" x14ac:dyDescent="0.5">
      <c r="A42" s="35"/>
      <c r="B42" s="35"/>
      <c r="C42" s="35"/>
      <c r="D42" s="35"/>
      <c r="E42" s="35"/>
    </row>
    <row r="43" spans="1:8" x14ac:dyDescent="0.5">
      <c r="A43" s="36"/>
      <c r="B43" s="102"/>
      <c r="C43" s="102"/>
      <c r="D43" s="36"/>
      <c r="E43" s="36"/>
    </row>
    <row r="46" spans="1:8" x14ac:dyDescent="0.5">
      <c r="A46" s="34"/>
    </row>
    <row r="48" spans="1:8" x14ac:dyDescent="0.5">
      <c r="A48" s="35"/>
      <c r="B48" s="35"/>
      <c r="C48" s="35"/>
      <c r="D48" s="35"/>
      <c r="E48" s="35"/>
    </row>
    <row r="49" spans="1:5" x14ac:dyDescent="0.5">
      <c r="A49" s="103"/>
      <c r="B49" s="102"/>
      <c r="C49" s="102"/>
      <c r="D49" s="36"/>
      <c r="E49" s="36"/>
    </row>
  </sheetData>
  <mergeCells count="10">
    <mergeCell ref="A7:D7"/>
    <mergeCell ref="A14:D14"/>
    <mergeCell ref="A23:B23"/>
    <mergeCell ref="A31:B31"/>
    <mergeCell ref="A1:B2"/>
    <mergeCell ref="A3:B5"/>
    <mergeCell ref="C1:D2"/>
    <mergeCell ref="C3:D5"/>
    <mergeCell ref="O24:R25"/>
    <mergeCell ref="O27:R3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Original_Data</vt:lpstr>
      <vt:lpstr>Missing_Values</vt:lpstr>
      <vt:lpstr>Google_Sales_Corr</vt:lpstr>
      <vt:lpstr>Outlier_Analysis</vt:lpstr>
      <vt:lpstr>Cleaned_Data</vt:lpstr>
      <vt:lpstr>Regression_Plots</vt:lpstr>
      <vt:lpstr>Multiple_Regression</vt:lpstr>
      <vt:lpstr>CLTV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güliz samgar</cp:lastModifiedBy>
  <dcterms:created xsi:type="dcterms:W3CDTF">2020-10-13T01:54:16Z</dcterms:created>
  <dcterms:modified xsi:type="dcterms:W3CDTF">2025-07-29T17:28:02Z</dcterms:modified>
</cp:coreProperties>
</file>