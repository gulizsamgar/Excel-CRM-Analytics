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a7fdfa7fd5d415b/Desktop/Data Analaysis/Excel/Excel CRM Projects/"/>
    </mc:Choice>
  </mc:AlternateContent>
  <xr:revisionPtr revIDLastSave="61" documentId="8_{FE99A338-301D-467B-8FF1-D8173346105E}" xr6:coauthVersionLast="47" xr6:coauthVersionMax="47" xr10:uidLastSave="{DC516C9D-10A9-4EC7-AC67-87AD85FCBAE6}"/>
  <bookViews>
    <workbookView xWindow="-98" yWindow="-98" windowWidth="21795" windowHeight="13875" firstSheet="4" activeTab="7" xr2:uid="{00000000-000D-0000-FFFF-FFFF00000000}"/>
  </bookViews>
  <sheets>
    <sheet name="DigitalAds_Original_Data" sheetId="8" r:id="rId1"/>
    <sheet name="01_Missing_Values" sheetId="1" r:id="rId2"/>
    <sheet name="02_Google_Sales_Corr" sheetId="4" r:id="rId3"/>
    <sheet name="03_Outlier_Analysis" sheetId="5" r:id="rId4"/>
    <sheet name="04_Cleaned_Data" sheetId="6" r:id="rId5"/>
    <sheet name="05_Regression_Plots" sheetId="9" r:id="rId6"/>
    <sheet name="06_Multiple_Regression" sheetId="7" r:id="rId7"/>
    <sheet name="07_CLTV" sheetId="10" r:id="rId8"/>
  </sheets>
  <definedNames>
    <definedName name="_xlnm._FilterDatabase" localSheetId="1" hidden="1">'01_Missing_Values'!$A$1:$M$201</definedName>
    <definedName name="_xlnm._FilterDatabase" localSheetId="2" hidden="1">'02_Google_Sales_Corr'!$A$1:$D$201</definedName>
    <definedName name="_xlnm._FilterDatabase" localSheetId="3" hidden="1">'03_Outlier_Analysis'!$A$1:$M$1</definedName>
    <definedName name="_xlnm._FilterDatabase" localSheetId="4" hidden="1">'04_Cleaned_Data'!$A$1:$H$1</definedName>
    <definedName name="_xlnm._FilterDatabase" localSheetId="5" hidden="1">'05_Regression_Plots'!$A$1:$H$1</definedName>
    <definedName name="_xlnm._FilterDatabase" localSheetId="0" hidden="1">DigitalAds_Original_Data!$A$1:$G$1</definedName>
    <definedName name="_xlchart.v1.0" hidden="1">'03_Outlier_Analysis'!$K$1</definedName>
    <definedName name="_xlchart.v1.1" hidden="1">'03_Outlier_Analysis'!$K$2:$K$201</definedName>
    <definedName name="_xlchart.v1.2" hidden="1">'03_Outlier_Analysis'!$L$1</definedName>
    <definedName name="_xlchart.v1.3" hidden="1">'03_Outlier_Analysis'!$L$2:$L$201</definedName>
    <definedName name="_xlchart.v1.4" hidden="1">'03_Outlier_Analysis'!$I$1</definedName>
    <definedName name="_xlchart.v1.5" hidden="1">'03_Outlier_Analysis'!$I$2:$I$201</definedName>
    <definedName name="_xlchart.v1.6" hidden="1">'03_Outlier_Analysis'!$J$1</definedName>
    <definedName name="_xlchart.v1.7" hidden="1">'03_Outlier_Analysis'!$J$2:$J$201</definedName>
    <definedName name="_xlchart.v1.8" hidden="1">'03_Outlier_Analysis'!$M$1</definedName>
    <definedName name="_xlchart.v1.9" hidden="1">'03_Outlier_Analysis'!$M$2:$M$201</definedName>
  </definedNames>
  <calcPr calcId="191029"/>
  <pivotCaches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g9g2RiKlMA5XX8SEvmIwRjj1XEWA=="/>
    </ext>
  </extLst>
</workbook>
</file>

<file path=xl/calcChain.xml><?xml version="1.0" encoding="utf-8"?>
<calcChain xmlns="http://schemas.openxmlformats.org/spreadsheetml/2006/main">
  <c r="D16" i="10" l="1"/>
  <c r="D28" i="7"/>
  <c r="I2" i="5"/>
  <c r="X18" i="1"/>
  <c r="B25" i="10"/>
  <c r="B26" i="10" s="1"/>
  <c r="B27" i="10" s="1"/>
  <c r="B29" i="10" s="1"/>
  <c r="D17" i="10"/>
  <c r="D18" i="10"/>
  <c r="D19" i="10"/>
  <c r="B21" i="10" s="1"/>
  <c r="D11" i="10"/>
  <c r="D12" i="10"/>
  <c r="D10" i="10"/>
  <c r="D9" i="10"/>
  <c r="C12" i="10"/>
  <c r="C11" i="10"/>
  <c r="C10" i="10"/>
  <c r="D32" i="7"/>
  <c r="D31" i="7"/>
  <c r="D30" i="7"/>
  <c r="D29" i="7"/>
  <c r="O5" i="6"/>
  <c r="N9" i="6"/>
  <c r="N8" i="6"/>
  <c r="N7" i="6"/>
  <c r="N6" i="6"/>
  <c r="N5" i="6"/>
  <c r="M9" i="6"/>
  <c r="M8" i="6"/>
  <c r="M7" i="6"/>
  <c r="M6" i="6"/>
  <c r="M5" i="6"/>
  <c r="L9" i="6"/>
  <c r="L8" i="6"/>
  <c r="L7" i="6"/>
  <c r="L6" i="6"/>
  <c r="K5" i="6"/>
  <c r="L5" i="6"/>
  <c r="K9" i="6"/>
  <c r="K8" i="6"/>
  <c r="K7" i="6"/>
  <c r="K6" i="6"/>
  <c r="P9" i="6"/>
  <c r="P8" i="6"/>
  <c r="P7" i="6"/>
  <c r="P6" i="6"/>
  <c r="P5" i="6"/>
  <c r="P4" i="5"/>
  <c r="Q9" i="6"/>
  <c r="Q8" i="6"/>
  <c r="Q7" i="6"/>
  <c r="Q6" i="6"/>
  <c r="Q5" i="6"/>
  <c r="Q8" i="5"/>
  <c r="Q7" i="5"/>
  <c r="Q6" i="5"/>
  <c r="Q5" i="5"/>
  <c r="Q4" i="5"/>
  <c r="P8" i="5"/>
  <c r="P7" i="5"/>
  <c r="P6" i="5"/>
  <c r="P5" i="5"/>
  <c r="D5" i="4"/>
  <c r="D49" i="4"/>
  <c r="D163" i="4"/>
  <c r="D200" i="4"/>
  <c r="D201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6" i="4"/>
  <c r="D4" i="4"/>
  <c r="D2" i="4"/>
  <c r="D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X22" i="1"/>
  <c r="X21" i="1"/>
  <c r="X20" i="1"/>
  <c r="X19" i="1"/>
  <c r="J2" i="1"/>
  <c r="K2" i="1"/>
  <c r="L2" i="1"/>
  <c r="M5" i="1"/>
  <c r="M4" i="1"/>
  <c r="M3" i="1"/>
  <c r="M2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6" i="1"/>
  <c r="M137" i="1"/>
  <c r="M138" i="1"/>
  <c r="M139" i="1"/>
  <c r="M140" i="1"/>
  <c r="M141" i="1"/>
  <c r="M142" i="1"/>
  <c r="M143" i="1"/>
  <c r="M144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3" i="1"/>
  <c r="L4" i="1"/>
  <c r="L5" i="1"/>
  <c r="L6" i="1"/>
  <c r="L7" i="1"/>
  <c r="L8" i="1"/>
  <c r="L9" i="1"/>
  <c r="L10" i="1"/>
  <c r="L11" i="1"/>
  <c r="L12" i="1"/>
  <c r="L13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199" i="1"/>
  <c r="L200" i="1"/>
  <c r="L2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J1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V22" i="1"/>
  <c r="V21" i="1"/>
  <c r="V20" i="1"/>
  <c r="V19" i="1"/>
  <c r="V18" i="1"/>
  <c r="U22" i="1"/>
  <c r="U21" i="1"/>
  <c r="L14" i="1" s="1"/>
  <c r="U20" i="1"/>
  <c r="K164" i="1" s="1"/>
  <c r="U19" i="1"/>
  <c r="J129" i="1" s="1"/>
  <c r="U18" i="1"/>
  <c r="T22" i="1"/>
  <c r="T21" i="1"/>
  <c r="T20" i="1"/>
  <c r="T19" i="1"/>
  <c r="T18" i="1"/>
  <c r="P22" i="1"/>
  <c r="R22" i="1" s="1"/>
  <c r="P21" i="1"/>
  <c r="R21" i="1" s="1"/>
  <c r="P20" i="1"/>
  <c r="R20" i="1" s="1"/>
  <c r="P19" i="1"/>
  <c r="R19" i="1" s="1"/>
  <c r="P18" i="1"/>
  <c r="R18" i="1" s="1"/>
  <c r="B201" i="9"/>
  <c r="C200" i="9"/>
  <c r="B33" i="10" l="1"/>
  <c r="B34" i="10" s="1"/>
  <c r="R8" i="6"/>
  <c r="R6" i="6"/>
  <c r="T6" i="6" s="1"/>
  <c r="O8" i="6"/>
  <c r="S8" i="6"/>
  <c r="O7" i="6"/>
  <c r="O9" i="6"/>
  <c r="O6" i="6"/>
  <c r="T8" i="6"/>
  <c r="R5" i="6"/>
  <c r="T5" i="6" s="1"/>
  <c r="R9" i="6"/>
  <c r="S9" i="6" s="1"/>
  <c r="R7" i="6"/>
  <c r="S7" i="6" s="1"/>
  <c r="R6" i="5"/>
  <c r="T6" i="5" s="1"/>
  <c r="R4" i="5"/>
  <c r="S4" i="5" s="1"/>
  <c r="R8" i="5"/>
  <c r="S8" i="5" s="1"/>
  <c r="R5" i="5"/>
  <c r="S5" i="5" s="1"/>
  <c r="R7" i="5"/>
  <c r="S7" i="5" s="1"/>
  <c r="J164" i="1"/>
  <c r="L196" i="1"/>
  <c r="L15" i="1"/>
  <c r="W18" i="1"/>
  <c r="W21" i="1"/>
  <c r="W19" i="1"/>
  <c r="W20" i="1"/>
  <c r="W22" i="1"/>
  <c r="B200" i="9"/>
  <c r="C199" i="9"/>
  <c r="B200" i="8"/>
  <c r="B199" i="8" s="1"/>
  <c r="B198" i="8" s="1"/>
  <c r="B197" i="8" s="1"/>
  <c r="B196" i="8" s="1"/>
  <c r="B195" i="8" s="1"/>
  <c r="B194" i="8" s="1"/>
  <c r="B193" i="8" s="1"/>
  <c r="B192" i="8" s="1"/>
  <c r="B191" i="8" s="1"/>
  <c r="B190" i="8" s="1"/>
  <c r="B189" i="8" s="1"/>
  <c r="B188" i="8" s="1"/>
  <c r="B187" i="8" s="1"/>
  <c r="B186" i="8" s="1"/>
  <c r="B185" i="8" s="1"/>
  <c r="B184" i="8" s="1"/>
  <c r="B183" i="8" s="1"/>
  <c r="B182" i="8" s="1"/>
  <c r="B181" i="8" s="1"/>
  <c r="B180" i="8" s="1"/>
  <c r="B179" i="8" s="1"/>
  <c r="B178" i="8" s="1"/>
  <c r="B177" i="8" s="1"/>
  <c r="B176" i="8" s="1"/>
  <c r="B175" i="8" s="1"/>
  <c r="B174" i="8" s="1"/>
  <c r="B173" i="8" s="1"/>
  <c r="B172" i="8" s="1"/>
  <c r="B171" i="8" s="1"/>
  <c r="B170" i="8" s="1"/>
  <c r="B169" i="8" s="1"/>
  <c r="B168" i="8" s="1"/>
  <c r="B167" i="8" s="1"/>
  <c r="B166" i="8" s="1"/>
  <c r="B165" i="8" s="1"/>
  <c r="B164" i="8" s="1"/>
  <c r="B163" i="8" s="1"/>
  <c r="B162" i="8" s="1"/>
  <c r="B161" i="8" s="1"/>
  <c r="B160" i="8" s="1"/>
  <c r="B159" i="8" s="1"/>
  <c r="B158" i="8" s="1"/>
  <c r="B157" i="8" s="1"/>
  <c r="B156" i="8" s="1"/>
  <c r="B155" i="8" s="1"/>
  <c r="B154" i="8" s="1"/>
  <c r="B153" i="8" s="1"/>
  <c r="B152" i="8" s="1"/>
  <c r="B151" i="8" s="1"/>
  <c r="B150" i="8" s="1"/>
  <c r="B149" i="8" s="1"/>
  <c r="B148" i="8" s="1"/>
  <c r="B147" i="8" s="1"/>
  <c r="B146" i="8" s="1"/>
  <c r="B145" i="8" s="1"/>
  <c r="B144" i="8" s="1"/>
  <c r="B143" i="8" s="1"/>
  <c r="B142" i="8" s="1"/>
  <c r="B141" i="8" s="1"/>
  <c r="B140" i="8" s="1"/>
  <c r="B139" i="8" s="1"/>
  <c r="B138" i="8" s="1"/>
  <c r="B137" i="8" s="1"/>
  <c r="B136" i="8" s="1"/>
  <c r="B135" i="8" s="1"/>
  <c r="B134" i="8" s="1"/>
  <c r="B133" i="8" s="1"/>
  <c r="B132" i="8" s="1"/>
  <c r="B131" i="8" s="1"/>
  <c r="B130" i="8" s="1"/>
  <c r="B129" i="8" s="1"/>
  <c r="B128" i="8" s="1"/>
  <c r="B127" i="8" s="1"/>
  <c r="B126" i="8" s="1"/>
  <c r="B125" i="8" s="1"/>
  <c r="B124" i="8" s="1"/>
  <c r="B123" i="8" s="1"/>
  <c r="B122" i="8" s="1"/>
  <c r="B121" i="8" s="1"/>
  <c r="B120" i="8" s="1"/>
  <c r="B119" i="8" s="1"/>
  <c r="B118" i="8" s="1"/>
  <c r="B117" i="8" s="1"/>
  <c r="B116" i="8" s="1"/>
  <c r="B115" i="8" s="1"/>
  <c r="B114" i="8" s="1"/>
  <c r="B113" i="8" s="1"/>
  <c r="B112" i="8" s="1"/>
  <c r="B111" i="8" s="1"/>
  <c r="B110" i="8" s="1"/>
  <c r="B109" i="8" s="1"/>
  <c r="B108" i="8" s="1"/>
  <c r="B107" i="8" s="1"/>
  <c r="B106" i="8" s="1"/>
  <c r="B105" i="8" s="1"/>
  <c r="B104" i="8" s="1"/>
  <c r="B103" i="8" s="1"/>
  <c r="B102" i="8" s="1"/>
  <c r="B101" i="8" s="1"/>
  <c r="B100" i="8" s="1"/>
  <c r="B99" i="8" s="1"/>
  <c r="B98" i="8" s="1"/>
  <c r="B97" i="8" s="1"/>
  <c r="B96" i="8" s="1"/>
  <c r="B95" i="8" s="1"/>
  <c r="B94" i="8" s="1"/>
  <c r="B93" i="8" s="1"/>
  <c r="B92" i="8" s="1"/>
  <c r="B91" i="8" s="1"/>
  <c r="B90" i="8" s="1"/>
  <c r="B89" i="8" s="1"/>
  <c r="B88" i="8" s="1"/>
  <c r="B87" i="8" s="1"/>
  <c r="B86" i="8" s="1"/>
  <c r="B85" i="8" s="1"/>
  <c r="B84" i="8" s="1"/>
  <c r="B83" i="8" s="1"/>
  <c r="B82" i="8" s="1"/>
  <c r="B81" i="8" s="1"/>
  <c r="B80" i="8" s="1"/>
  <c r="B79" i="8" s="1"/>
  <c r="B78" i="8" s="1"/>
  <c r="B77" i="8" s="1"/>
  <c r="B76" i="8" s="1"/>
  <c r="B75" i="8" s="1"/>
  <c r="B74" i="8" s="1"/>
  <c r="B73" i="8" s="1"/>
  <c r="B72" i="8" s="1"/>
  <c r="B71" i="8" s="1"/>
  <c r="B70" i="8" s="1"/>
  <c r="B69" i="8" s="1"/>
  <c r="B68" i="8" s="1"/>
  <c r="B67" i="8" s="1"/>
  <c r="B66" i="8" s="1"/>
  <c r="B65" i="8" s="1"/>
  <c r="B64" i="8" s="1"/>
  <c r="B63" i="8" s="1"/>
  <c r="B62" i="8" s="1"/>
  <c r="B61" i="8" s="1"/>
  <c r="B60" i="8" s="1"/>
  <c r="B59" i="8" s="1"/>
  <c r="B58" i="8" s="1"/>
  <c r="B57" i="8" s="1"/>
  <c r="B56" i="8" s="1"/>
  <c r="B55" i="8" s="1"/>
  <c r="B54" i="8" s="1"/>
  <c r="B53" i="8" s="1"/>
  <c r="B52" i="8" s="1"/>
  <c r="B51" i="8" s="1"/>
  <c r="B50" i="8" s="1"/>
  <c r="B49" i="8" s="1"/>
  <c r="B48" i="8" s="1"/>
  <c r="B47" i="8" s="1"/>
  <c r="B46" i="8" s="1"/>
  <c r="B45" i="8" s="1"/>
  <c r="B44" i="8" s="1"/>
  <c r="B43" i="8" s="1"/>
  <c r="B42" i="8" s="1"/>
  <c r="B41" i="8" s="1"/>
  <c r="B40" i="8" s="1"/>
  <c r="B39" i="8" s="1"/>
  <c r="B38" i="8" s="1"/>
  <c r="B37" i="8" s="1"/>
  <c r="B36" i="8" s="1"/>
  <c r="B35" i="8" s="1"/>
  <c r="B34" i="8" s="1"/>
  <c r="B33" i="8" s="1"/>
  <c r="B32" i="8" s="1"/>
  <c r="B31" i="8" s="1"/>
  <c r="B30" i="8" s="1"/>
  <c r="B29" i="8" s="1"/>
  <c r="B28" i="8" s="1"/>
  <c r="B27" i="8" s="1"/>
  <c r="B26" i="8" s="1"/>
  <c r="B25" i="8" s="1"/>
  <c r="B24" i="8" s="1"/>
  <c r="B23" i="8" s="1"/>
  <c r="B22" i="8" s="1"/>
  <c r="B21" i="8" s="1"/>
  <c r="B20" i="8" s="1"/>
  <c r="B19" i="8" s="1"/>
  <c r="B18" i="8" s="1"/>
  <c r="B17" i="8" s="1"/>
  <c r="B16" i="8" s="1"/>
  <c r="B15" i="8" s="1"/>
  <c r="B14" i="8" s="1"/>
  <c r="B13" i="8" s="1"/>
  <c r="B12" i="8" s="1"/>
  <c r="B11" i="8" s="1"/>
  <c r="B10" i="8" s="1"/>
  <c r="B9" i="8" s="1"/>
  <c r="B8" i="8" s="1"/>
  <c r="B7" i="8" s="1"/>
  <c r="B6" i="8" s="1"/>
  <c r="B5" i="8" s="1"/>
  <c r="B4" i="8" s="1"/>
  <c r="B3" i="8" s="1"/>
  <c r="B2" i="8" s="1"/>
  <c r="B201" i="6"/>
  <c r="C200" i="6"/>
  <c r="B200" i="6" s="1"/>
  <c r="B201" i="5"/>
  <c r="B201" i="1"/>
  <c r="S6" i="6" l="1"/>
  <c r="S5" i="6"/>
  <c r="T7" i="6"/>
  <c r="T9" i="6"/>
  <c r="T4" i="5"/>
  <c r="I191" i="5" s="1"/>
  <c r="K17" i="5"/>
  <c r="K35" i="5"/>
  <c r="K53" i="5"/>
  <c r="K71" i="5"/>
  <c r="K89" i="5"/>
  <c r="K107" i="5"/>
  <c r="K125" i="5"/>
  <c r="K143" i="5"/>
  <c r="K161" i="5"/>
  <c r="K179" i="5"/>
  <c r="K197" i="5"/>
  <c r="K37" i="5"/>
  <c r="K127" i="5"/>
  <c r="K199" i="5"/>
  <c r="K56" i="5"/>
  <c r="K110" i="5"/>
  <c r="K146" i="5"/>
  <c r="K164" i="5"/>
  <c r="K200" i="5"/>
  <c r="K21" i="5"/>
  <c r="K57" i="5"/>
  <c r="K93" i="5"/>
  <c r="K129" i="5"/>
  <c r="K165" i="5"/>
  <c r="K201" i="5"/>
  <c r="K4" i="5"/>
  <c r="K40" i="5"/>
  <c r="K18" i="5"/>
  <c r="K36" i="5"/>
  <c r="K54" i="5"/>
  <c r="K72" i="5"/>
  <c r="K90" i="5"/>
  <c r="K108" i="5"/>
  <c r="K126" i="5"/>
  <c r="K144" i="5"/>
  <c r="K162" i="5"/>
  <c r="K180" i="5"/>
  <c r="K198" i="5"/>
  <c r="K19" i="5"/>
  <c r="K55" i="5"/>
  <c r="K73" i="5"/>
  <c r="K91" i="5"/>
  <c r="K109" i="5"/>
  <c r="K145" i="5"/>
  <c r="K163" i="5"/>
  <c r="K181" i="5"/>
  <c r="K20" i="5"/>
  <c r="K38" i="5"/>
  <c r="K74" i="5"/>
  <c r="K92" i="5"/>
  <c r="K128" i="5"/>
  <c r="K182" i="5"/>
  <c r="K3" i="5"/>
  <c r="K39" i="5"/>
  <c r="K75" i="5"/>
  <c r="K111" i="5"/>
  <c r="K147" i="5"/>
  <c r="K183" i="5"/>
  <c r="K22" i="5"/>
  <c r="K58" i="5"/>
  <c r="K94" i="5"/>
  <c r="K112" i="5"/>
  <c r="K130" i="5"/>
  <c r="K10" i="5"/>
  <c r="K34" i="5"/>
  <c r="K64" i="5"/>
  <c r="K87" i="5"/>
  <c r="K117" i="5"/>
  <c r="K141" i="5"/>
  <c r="K169" i="5"/>
  <c r="K192" i="5"/>
  <c r="K11" i="5"/>
  <c r="K41" i="5"/>
  <c r="K65" i="5"/>
  <c r="K88" i="5"/>
  <c r="K118" i="5"/>
  <c r="K142" i="5"/>
  <c r="K170" i="5"/>
  <c r="K193" i="5"/>
  <c r="K172" i="5"/>
  <c r="K14" i="5"/>
  <c r="K68" i="5"/>
  <c r="K121" i="5"/>
  <c r="K173" i="5"/>
  <c r="K45" i="5"/>
  <c r="K69" i="5"/>
  <c r="K122" i="5"/>
  <c r="K151" i="5"/>
  <c r="K2" i="5"/>
  <c r="K46" i="5"/>
  <c r="K123" i="5"/>
  <c r="K12" i="5"/>
  <c r="K42" i="5"/>
  <c r="K66" i="5"/>
  <c r="K95" i="5"/>
  <c r="K119" i="5"/>
  <c r="K148" i="5"/>
  <c r="K171" i="5"/>
  <c r="K194" i="5"/>
  <c r="K13" i="5"/>
  <c r="K43" i="5"/>
  <c r="K67" i="5"/>
  <c r="K96" i="5"/>
  <c r="K120" i="5"/>
  <c r="K149" i="5"/>
  <c r="K195" i="5"/>
  <c r="K44" i="5"/>
  <c r="K97" i="5"/>
  <c r="K150" i="5"/>
  <c r="K196" i="5"/>
  <c r="K15" i="5"/>
  <c r="K98" i="5"/>
  <c r="K174" i="5"/>
  <c r="K16" i="5"/>
  <c r="K70" i="5"/>
  <c r="K99" i="5"/>
  <c r="K152" i="5"/>
  <c r="K175" i="5"/>
  <c r="K9" i="5"/>
  <c r="K59" i="5"/>
  <c r="K102" i="5"/>
  <c r="K139" i="5"/>
  <c r="K186" i="5"/>
  <c r="K23" i="5"/>
  <c r="K60" i="5"/>
  <c r="K103" i="5"/>
  <c r="K140" i="5"/>
  <c r="K187" i="5"/>
  <c r="K189" i="5"/>
  <c r="K26" i="5"/>
  <c r="K63" i="5"/>
  <c r="K155" i="5"/>
  <c r="K190" i="5"/>
  <c r="K27" i="5"/>
  <c r="K76" i="5"/>
  <c r="K156" i="5"/>
  <c r="K191" i="5"/>
  <c r="K77" i="5"/>
  <c r="K114" i="5"/>
  <c r="K157" i="5"/>
  <c r="K29" i="5"/>
  <c r="K78" i="5"/>
  <c r="K115" i="5"/>
  <c r="K158" i="5"/>
  <c r="K30" i="5"/>
  <c r="K79" i="5"/>
  <c r="K116" i="5"/>
  <c r="K159" i="5"/>
  <c r="K32" i="5"/>
  <c r="K81" i="5"/>
  <c r="K131" i="5"/>
  <c r="K166" i="5"/>
  <c r="K47" i="5"/>
  <c r="K83" i="5"/>
  <c r="K133" i="5"/>
  <c r="K49" i="5"/>
  <c r="K135" i="5"/>
  <c r="K101" i="5"/>
  <c r="K168" i="5"/>
  <c r="K48" i="5"/>
  <c r="K84" i="5"/>
  <c r="K134" i="5"/>
  <c r="K24" i="5"/>
  <c r="K61" i="5"/>
  <c r="K104" i="5"/>
  <c r="K153" i="5"/>
  <c r="K188" i="5"/>
  <c r="K25" i="5"/>
  <c r="K62" i="5"/>
  <c r="K105" i="5"/>
  <c r="K154" i="5"/>
  <c r="K106" i="5"/>
  <c r="K113" i="5"/>
  <c r="K28" i="5"/>
  <c r="K31" i="5"/>
  <c r="K80" i="5"/>
  <c r="K124" i="5"/>
  <c r="K160" i="5"/>
  <c r="K33" i="5"/>
  <c r="K82" i="5"/>
  <c r="K132" i="5"/>
  <c r="K167" i="5"/>
  <c r="K176" i="5"/>
  <c r="K5" i="5"/>
  <c r="K85" i="5"/>
  <c r="K177" i="5"/>
  <c r="K6" i="5"/>
  <c r="K50" i="5"/>
  <c r="K86" i="5"/>
  <c r="K136" i="5"/>
  <c r="K178" i="5"/>
  <c r="K7" i="5"/>
  <c r="K51" i="5"/>
  <c r="K100" i="5"/>
  <c r="K137" i="5"/>
  <c r="K184" i="5"/>
  <c r="K8" i="5"/>
  <c r="K52" i="5"/>
  <c r="K138" i="5"/>
  <c r="K185" i="5"/>
  <c r="S6" i="5"/>
  <c r="T8" i="5"/>
  <c r="I101" i="5"/>
  <c r="I119" i="5"/>
  <c r="I137" i="5"/>
  <c r="I155" i="5"/>
  <c r="I173" i="5"/>
  <c r="I4" i="5"/>
  <c r="I24" i="5"/>
  <c r="I44" i="5"/>
  <c r="I64" i="5"/>
  <c r="I86" i="5"/>
  <c r="I167" i="5"/>
  <c r="I187" i="5"/>
  <c r="I6" i="5"/>
  <c r="I26" i="5"/>
  <c r="I46" i="5"/>
  <c r="I170" i="5"/>
  <c r="I195" i="5"/>
  <c r="I23" i="5"/>
  <c r="I51" i="5"/>
  <c r="I74" i="5"/>
  <c r="I197" i="5"/>
  <c r="I28" i="5"/>
  <c r="I53" i="5"/>
  <c r="I76" i="5"/>
  <c r="I99" i="5"/>
  <c r="I124" i="5"/>
  <c r="I7" i="5"/>
  <c r="I32" i="5"/>
  <c r="I55" i="5"/>
  <c r="I78" i="5"/>
  <c r="I102" i="5"/>
  <c r="I129" i="5"/>
  <c r="I34" i="5"/>
  <c r="I57" i="5"/>
  <c r="I80" i="5"/>
  <c r="I105" i="5"/>
  <c r="I131" i="5"/>
  <c r="I48" i="5"/>
  <c r="I93" i="5"/>
  <c r="I138" i="5"/>
  <c r="I183" i="5"/>
  <c r="I14" i="5"/>
  <c r="I142" i="5"/>
  <c r="I189" i="5"/>
  <c r="I17" i="5"/>
  <c r="I61" i="5"/>
  <c r="I110" i="5"/>
  <c r="I143" i="5"/>
  <c r="I113" i="5"/>
  <c r="I159" i="5"/>
  <c r="I35" i="5"/>
  <c r="I71" i="5"/>
  <c r="I115" i="5"/>
  <c r="I161" i="5"/>
  <c r="I169" i="5"/>
  <c r="I20" i="5"/>
  <c r="I21" i="5"/>
  <c r="I70" i="5"/>
  <c r="I114" i="5"/>
  <c r="I160" i="5"/>
  <c r="T5" i="5"/>
  <c r="J4" i="5" s="1"/>
  <c r="T7" i="5"/>
  <c r="B199" i="9"/>
  <c r="C198" i="9"/>
  <c r="C199" i="6"/>
  <c r="C198" i="6" s="1"/>
  <c r="C197" i="6" s="1"/>
  <c r="I144" i="5" l="1"/>
  <c r="I89" i="5"/>
  <c r="I127" i="5"/>
  <c r="I165" i="5"/>
  <c r="I178" i="5"/>
  <c r="I157" i="5"/>
  <c r="I132" i="5"/>
  <c r="I16" i="5"/>
  <c r="I123" i="5"/>
  <c r="I73" i="5"/>
  <c r="I87" i="5"/>
  <c r="I139" i="5"/>
  <c r="I29" i="5"/>
  <c r="I90" i="5"/>
  <c r="I39" i="5"/>
  <c r="I112" i="5"/>
  <c r="I185" i="5"/>
  <c r="I43" i="5"/>
  <c r="I130" i="5"/>
  <c r="I125" i="5"/>
  <c r="I98" i="5"/>
  <c r="I50" i="5"/>
  <c r="I66" i="5"/>
  <c r="I121" i="5"/>
  <c r="I11" i="5"/>
  <c r="I41" i="5"/>
  <c r="I164" i="5"/>
  <c r="I63" i="5"/>
  <c r="I141" i="5"/>
  <c r="I10" i="5"/>
  <c r="I104" i="5"/>
  <c r="I100" i="5"/>
  <c r="I75" i="5"/>
  <c r="I22" i="5"/>
  <c r="I45" i="5"/>
  <c r="I103" i="5"/>
  <c r="I67" i="5"/>
  <c r="I182" i="5"/>
  <c r="I175" i="5"/>
  <c r="I194" i="5"/>
  <c r="I176" i="5"/>
  <c r="I149" i="5"/>
  <c r="I47" i="5"/>
  <c r="I153" i="5"/>
  <c r="I133" i="5"/>
  <c r="I19" i="5"/>
  <c r="I79" i="5"/>
  <c r="I188" i="5"/>
  <c r="I40" i="5"/>
  <c r="I59" i="5"/>
  <c r="I54" i="5"/>
  <c r="I5" i="5"/>
  <c r="I38" i="5"/>
  <c r="I15" i="5"/>
  <c r="I33" i="5"/>
  <c r="I148" i="5"/>
  <c r="I49" i="5"/>
  <c r="I111" i="5"/>
  <c r="I8" i="5"/>
  <c r="I128" i="5"/>
  <c r="I116" i="5"/>
  <c r="I62" i="5"/>
  <c r="I140" i="5"/>
  <c r="I200" i="5"/>
  <c r="I198" i="5"/>
  <c r="I145" i="5"/>
  <c r="I108" i="5"/>
  <c r="I146" i="5"/>
  <c r="I13" i="5"/>
  <c r="I69" i="5"/>
  <c r="I120" i="5"/>
  <c r="I60" i="5"/>
  <c r="I96" i="5"/>
  <c r="I151" i="5"/>
  <c r="I118" i="5"/>
  <c r="I181" i="5"/>
  <c r="I52" i="5"/>
  <c r="I25" i="5"/>
  <c r="I192" i="5"/>
  <c r="I56" i="5"/>
  <c r="I27" i="5"/>
  <c r="I84" i="5"/>
  <c r="I91" i="5"/>
  <c r="I30" i="5"/>
  <c r="I186" i="5"/>
  <c r="I163" i="5"/>
  <c r="I42" i="5"/>
  <c r="I171" i="5"/>
  <c r="I31" i="5"/>
  <c r="I72" i="5"/>
  <c r="I94" i="5"/>
  <c r="I177" i="5"/>
  <c r="I174" i="5"/>
  <c r="I88" i="5"/>
  <c r="I126" i="5"/>
  <c r="R14" i="5"/>
  <c r="I12" i="5"/>
  <c r="I9" i="5"/>
  <c r="I147" i="5"/>
  <c r="I193" i="5"/>
  <c r="I83" i="5"/>
  <c r="I109" i="5"/>
  <c r="I201" i="5"/>
  <c r="I199" i="5"/>
  <c r="I172" i="5"/>
  <c r="I65" i="5"/>
  <c r="I180" i="5"/>
  <c r="I136" i="5"/>
  <c r="I107" i="5"/>
  <c r="I134" i="5"/>
  <c r="I158" i="5"/>
  <c r="I92" i="5"/>
  <c r="I95" i="5"/>
  <c r="I77" i="5"/>
  <c r="I85" i="5"/>
  <c r="I82" i="5"/>
  <c r="I135" i="5"/>
  <c r="I168" i="5"/>
  <c r="I156" i="5"/>
  <c r="I196" i="5"/>
  <c r="I162" i="5"/>
  <c r="I184" i="5"/>
  <c r="I3" i="5"/>
  <c r="I166" i="5"/>
  <c r="I117" i="5"/>
  <c r="I81" i="5"/>
  <c r="I18" i="5"/>
  <c r="I179" i="5"/>
  <c r="I122" i="5"/>
  <c r="I36" i="5"/>
  <c r="I37" i="5"/>
  <c r="I190" i="5"/>
  <c r="I58" i="5"/>
  <c r="I154" i="5"/>
  <c r="I152" i="5"/>
  <c r="I150" i="5"/>
  <c r="I97" i="5"/>
  <c r="I68" i="5"/>
  <c r="I106" i="5"/>
  <c r="L19" i="5"/>
  <c r="L37" i="5"/>
  <c r="L55" i="5"/>
  <c r="L73" i="5"/>
  <c r="L91" i="5"/>
  <c r="L109" i="5"/>
  <c r="L127" i="5"/>
  <c r="L145" i="5"/>
  <c r="L163" i="5"/>
  <c r="L181" i="5"/>
  <c r="L199" i="5"/>
  <c r="L4" i="5"/>
  <c r="L22" i="5"/>
  <c r="L58" i="5"/>
  <c r="L76" i="5"/>
  <c r="L94" i="5"/>
  <c r="L130" i="5"/>
  <c r="L166" i="5"/>
  <c r="L2" i="5"/>
  <c r="L5" i="5"/>
  <c r="L41" i="5"/>
  <c r="L59" i="5"/>
  <c r="L77" i="5"/>
  <c r="L113" i="5"/>
  <c r="L149" i="5"/>
  <c r="L185" i="5"/>
  <c r="L24" i="5"/>
  <c r="L60" i="5"/>
  <c r="L96" i="5"/>
  <c r="L132" i="5"/>
  <c r="L168" i="5"/>
  <c r="L20" i="5"/>
  <c r="L38" i="5"/>
  <c r="L56" i="5"/>
  <c r="L74" i="5"/>
  <c r="L92" i="5"/>
  <c r="L110" i="5"/>
  <c r="L128" i="5"/>
  <c r="L146" i="5"/>
  <c r="L164" i="5"/>
  <c r="L182" i="5"/>
  <c r="L200" i="5"/>
  <c r="L3" i="5"/>
  <c r="L21" i="5"/>
  <c r="L39" i="5"/>
  <c r="L57" i="5"/>
  <c r="L75" i="5"/>
  <c r="L93" i="5"/>
  <c r="L111" i="5"/>
  <c r="L129" i="5"/>
  <c r="L147" i="5"/>
  <c r="L165" i="5"/>
  <c r="L183" i="5"/>
  <c r="L201" i="5"/>
  <c r="L40" i="5"/>
  <c r="L112" i="5"/>
  <c r="L148" i="5"/>
  <c r="L184" i="5"/>
  <c r="L23" i="5"/>
  <c r="L95" i="5"/>
  <c r="L131" i="5"/>
  <c r="L167" i="5"/>
  <c r="L6" i="5"/>
  <c r="L42" i="5"/>
  <c r="L78" i="5"/>
  <c r="L114" i="5"/>
  <c r="L150" i="5"/>
  <c r="L186" i="5"/>
  <c r="L18" i="5"/>
  <c r="L48" i="5"/>
  <c r="L72" i="5"/>
  <c r="L102" i="5"/>
  <c r="L126" i="5"/>
  <c r="L156" i="5"/>
  <c r="L180" i="5"/>
  <c r="L25" i="5"/>
  <c r="L49" i="5"/>
  <c r="L79" i="5"/>
  <c r="L103" i="5"/>
  <c r="L133" i="5"/>
  <c r="L157" i="5"/>
  <c r="L187" i="5"/>
  <c r="L189" i="5"/>
  <c r="L82" i="5"/>
  <c r="L160" i="5"/>
  <c r="L29" i="5"/>
  <c r="L107" i="5"/>
  <c r="L84" i="5"/>
  <c r="L108" i="5"/>
  <c r="L162" i="5"/>
  <c r="L26" i="5"/>
  <c r="L50" i="5"/>
  <c r="L80" i="5"/>
  <c r="L104" i="5"/>
  <c r="L134" i="5"/>
  <c r="L158" i="5"/>
  <c r="L188" i="5"/>
  <c r="L27" i="5"/>
  <c r="L51" i="5"/>
  <c r="L81" i="5"/>
  <c r="L105" i="5"/>
  <c r="L135" i="5"/>
  <c r="L159" i="5"/>
  <c r="L28" i="5"/>
  <c r="L52" i="5"/>
  <c r="L106" i="5"/>
  <c r="L136" i="5"/>
  <c r="L190" i="5"/>
  <c r="L53" i="5"/>
  <c r="L83" i="5"/>
  <c r="L137" i="5"/>
  <c r="L161" i="5"/>
  <c r="L191" i="5"/>
  <c r="L30" i="5"/>
  <c r="L54" i="5"/>
  <c r="L138" i="5"/>
  <c r="L192" i="5"/>
  <c r="L35" i="5"/>
  <c r="L85" i="5"/>
  <c r="L122" i="5"/>
  <c r="L172" i="5"/>
  <c r="L36" i="5"/>
  <c r="L86" i="5"/>
  <c r="L123" i="5"/>
  <c r="L173" i="5"/>
  <c r="L8" i="5"/>
  <c r="L45" i="5"/>
  <c r="L89" i="5"/>
  <c r="L139" i="5"/>
  <c r="L176" i="5"/>
  <c r="L46" i="5"/>
  <c r="L140" i="5"/>
  <c r="L10" i="5"/>
  <c r="L97" i="5"/>
  <c r="L141" i="5"/>
  <c r="L178" i="5"/>
  <c r="L11" i="5"/>
  <c r="L61" i="5"/>
  <c r="L98" i="5"/>
  <c r="L142" i="5"/>
  <c r="L179" i="5"/>
  <c r="L12" i="5"/>
  <c r="L62" i="5"/>
  <c r="L99" i="5"/>
  <c r="L193" i="5"/>
  <c r="L14" i="5"/>
  <c r="L64" i="5"/>
  <c r="L101" i="5"/>
  <c r="L151" i="5"/>
  <c r="L195" i="5"/>
  <c r="L16" i="5"/>
  <c r="L66" i="5"/>
  <c r="L116" i="5"/>
  <c r="L153" i="5"/>
  <c r="L197" i="5"/>
  <c r="L68" i="5"/>
  <c r="L155" i="5"/>
  <c r="L121" i="5"/>
  <c r="L17" i="5"/>
  <c r="L67" i="5"/>
  <c r="L117" i="5"/>
  <c r="L154" i="5"/>
  <c r="L198" i="5"/>
  <c r="L43" i="5"/>
  <c r="L87" i="5"/>
  <c r="L124" i="5"/>
  <c r="L174" i="5"/>
  <c r="L7" i="5"/>
  <c r="L44" i="5"/>
  <c r="L88" i="5"/>
  <c r="L125" i="5"/>
  <c r="L175" i="5"/>
  <c r="L9" i="5"/>
  <c r="L90" i="5"/>
  <c r="L177" i="5"/>
  <c r="L47" i="5"/>
  <c r="L143" i="5"/>
  <c r="L13" i="5"/>
  <c r="L63" i="5"/>
  <c r="L100" i="5"/>
  <c r="L144" i="5"/>
  <c r="L194" i="5"/>
  <c r="L15" i="5"/>
  <c r="L65" i="5"/>
  <c r="L115" i="5"/>
  <c r="L152" i="5"/>
  <c r="L196" i="5"/>
  <c r="L31" i="5"/>
  <c r="L118" i="5"/>
  <c r="L32" i="5"/>
  <c r="L69" i="5"/>
  <c r="L119" i="5"/>
  <c r="L169" i="5"/>
  <c r="L33" i="5"/>
  <c r="L70" i="5"/>
  <c r="L120" i="5"/>
  <c r="L170" i="5"/>
  <c r="L34" i="5"/>
  <c r="L71" i="5"/>
  <c r="L171" i="5"/>
  <c r="M3" i="5"/>
  <c r="M21" i="5"/>
  <c r="M39" i="5"/>
  <c r="M57" i="5"/>
  <c r="M75" i="5"/>
  <c r="M93" i="5"/>
  <c r="M111" i="5"/>
  <c r="M129" i="5"/>
  <c r="M147" i="5"/>
  <c r="M165" i="5"/>
  <c r="M183" i="5"/>
  <c r="M201" i="5"/>
  <c r="M113" i="5"/>
  <c r="M6" i="5"/>
  <c r="M60" i="5"/>
  <c r="M78" i="5"/>
  <c r="M96" i="5"/>
  <c r="M132" i="5"/>
  <c r="M168" i="5"/>
  <c r="M7" i="5"/>
  <c r="M97" i="5"/>
  <c r="M151" i="5"/>
  <c r="M8" i="5"/>
  <c r="M62" i="5"/>
  <c r="M98" i="5"/>
  <c r="M134" i="5"/>
  <c r="M170" i="5"/>
  <c r="M4" i="5"/>
  <c r="M22" i="5"/>
  <c r="M40" i="5"/>
  <c r="M58" i="5"/>
  <c r="M76" i="5"/>
  <c r="M94" i="5"/>
  <c r="M112" i="5"/>
  <c r="M130" i="5"/>
  <c r="M148" i="5"/>
  <c r="M166" i="5"/>
  <c r="M184" i="5"/>
  <c r="M2" i="5"/>
  <c r="M131" i="5"/>
  <c r="M42" i="5"/>
  <c r="M43" i="5"/>
  <c r="M5" i="5"/>
  <c r="M23" i="5"/>
  <c r="M41" i="5"/>
  <c r="M59" i="5"/>
  <c r="M77" i="5"/>
  <c r="M95" i="5"/>
  <c r="M149" i="5"/>
  <c r="M167" i="5"/>
  <c r="M185" i="5"/>
  <c r="M24" i="5"/>
  <c r="M114" i="5"/>
  <c r="M150" i="5"/>
  <c r="M186" i="5"/>
  <c r="M25" i="5"/>
  <c r="M61" i="5"/>
  <c r="M79" i="5"/>
  <c r="M115" i="5"/>
  <c r="M133" i="5"/>
  <c r="M169" i="5"/>
  <c r="M187" i="5"/>
  <c r="M26" i="5"/>
  <c r="M80" i="5"/>
  <c r="M116" i="5"/>
  <c r="M152" i="5"/>
  <c r="M188" i="5"/>
  <c r="M9" i="5"/>
  <c r="M33" i="5"/>
  <c r="M56" i="5"/>
  <c r="M86" i="5"/>
  <c r="M110" i="5"/>
  <c r="M140" i="5"/>
  <c r="M164" i="5"/>
  <c r="M194" i="5"/>
  <c r="M10" i="5"/>
  <c r="M34" i="5"/>
  <c r="M63" i="5"/>
  <c r="M87" i="5"/>
  <c r="M117" i="5"/>
  <c r="M141" i="5"/>
  <c r="M171" i="5"/>
  <c r="M195" i="5"/>
  <c r="M36" i="5"/>
  <c r="M37" i="5"/>
  <c r="M66" i="5"/>
  <c r="M90" i="5"/>
  <c r="M144" i="5"/>
  <c r="M198" i="5"/>
  <c r="M38" i="5"/>
  <c r="M175" i="5"/>
  <c r="M44" i="5"/>
  <c r="M122" i="5"/>
  <c r="M176" i="5"/>
  <c r="M11" i="5"/>
  <c r="M35" i="5"/>
  <c r="M64" i="5"/>
  <c r="M88" i="5"/>
  <c r="M118" i="5"/>
  <c r="M142" i="5"/>
  <c r="M172" i="5"/>
  <c r="M196" i="5"/>
  <c r="M12" i="5"/>
  <c r="M65" i="5"/>
  <c r="M89" i="5"/>
  <c r="M119" i="5"/>
  <c r="M143" i="5"/>
  <c r="M173" i="5"/>
  <c r="M197" i="5"/>
  <c r="M13" i="5"/>
  <c r="M120" i="5"/>
  <c r="M174" i="5"/>
  <c r="M14" i="5"/>
  <c r="M67" i="5"/>
  <c r="M91" i="5"/>
  <c r="M121" i="5"/>
  <c r="M145" i="5"/>
  <c r="M199" i="5"/>
  <c r="M15" i="5"/>
  <c r="M68" i="5"/>
  <c r="M92" i="5"/>
  <c r="M146" i="5"/>
  <c r="M200" i="5"/>
  <c r="M16" i="5"/>
  <c r="M69" i="5"/>
  <c r="M17" i="5"/>
  <c r="M53" i="5"/>
  <c r="M104" i="5"/>
  <c r="M154" i="5"/>
  <c r="M191" i="5"/>
  <c r="M18" i="5"/>
  <c r="M54" i="5"/>
  <c r="M105" i="5"/>
  <c r="M155" i="5"/>
  <c r="M192" i="5"/>
  <c r="M70" i="5"/>
  <c r="M27" i="5"/>
  <c r="M108" i="5"/>
  <c r="M158" i="5"/>
  <c r="M28" i="5"/>
  <c r="M159" i="5"/>
  <c r="M29" i="5"/>
  <c r="M123" i="5"/>
  <c r="M160" i="5"/>
  <c r="M30" i="5"/>
  <c r="M74" i="5"/>
  <c r="M124" i="5"/>
  <c r="M161" i="5"/>
  <c r="M31" i="5"/>
  <c r="M81" i="5"/>
  <c r="M125" i="5"/>
  <c r="M162" i="5"/>
  <c r="M45" i="5"/>
  <c r="M83" i="5"/>
  <c r="M127" i="5"/>
  <c r="M177" i="5"/>
  <c r="M85" i="5"/>
  <c r="M135" i="5"/>
  <c r="M179" i="5"/>
  <c r="M100" i="5"/>
  <c r="M181" i="5"/>
  <c r="M102" i="5"/>
  <c r="M103" i="5"/>
  <c r="M84" i="5"/>
  <c r="M47" i="5"/>
  <c r="M48" i="5"/>
  <c r="M99" i="5"/>
  <c r="M136" i="5"/>
  <c r="M180" i="5"/>
  <c r="M139" i="5"/>
  <c r="M153" i="5"/>
  <c r="M19" i="5"/>
  <c r="M55" i="5"/>
  <c r="M106" i="5"/>
  <c r="M156" i="5"/>
  <c r="M193" i="5"/>
  <c r="M20" i="5"/>
  <c r="M107" i="5"/>
  <c r="M157" i="5"/>
  <c r="M71" i="5"/>
  <c r="M72" i="5"/>
  <c r="M109" i="5"/>
  <c r="M73" i="5"/>
  <c r="M32" i="5"/>
  <c r="M82" i="5"/>
  <c r="M126" i="5"/>
  <c r="M163" i="5"/>
  <c r="M46" i="5"/>
  <c r="M128" i="5"/>
  <c r="M178" i="5"/>
  <c r="M49" i="5"/>
  <c r="M137" i="5"/>
  <c r="M50" i="5"/>
  <c r="M101" i="5"/>
  <c r="M138" i="5"/>
  <c r="M182" i="5"/>
  <c r="M51" i="5"/>
  <c r="M189" i="5"/>
  <c r="M52" i="5"/>
  <c r="M190" i="5"/>
  <c r="J13" i="5"/>
  <c r="J31" i="5"/>
  <c r="J49" i="5"/>
  <c r="J67" i="5"/>
  <c r="J85" i="5"/>
  <c r="J103" i="5"/>
  <c r="J121" i="5"/>
  <c r="J139" i="5"/>
  <c r="J157" i="5"/>
  <c r="J175" i="5"/>
  <c r="J193" i="5"/>
  <c r="J15" i="5"/>
  <c r="J33" i="5"/>
  <c r="J51" i="5"/>
  <c r="J69" i="5"/>
  <c r="J87" i="5"/>
  <c r="J105" i="5"/>
  <c r="J123" i="5"/>
  <c r="J141" i="5"/>
  <c r="J159" i="5"/>
  <c r="J177" i="5"/>
  <c r="J195" i="5"/>
  <c r="J22" i="5"/>
  <c r="J42" i="5"/>
  <c r="J62" i="5"/>
  <c r="J82" i="5"/>
  <c r="J102" i="5"/>
  <c r="J124" i="5"/>
  <c r="J144" i="5"/>
  <c r="J164" i="5"/>
  <c r="J184" i="5"/>
  <c r="J3" i="5"/>
  <c r="J23" i="5"/>
  <c r="J43" i="5"/>
  <c r="J63" i="5"/>
  <c r="J83" i="5"/>
  <c r="J104" i="5"/>
  <c r="J125" i="5"/>
  <c r="J145" i="5"/>
  <c r="J165" i="5"/>
  <c r="J185" i="5"/>
  <c r="J24" i="5"/>
  <c r="J44" i="5"/>
  <c r="J64" i="5"/>
  <c r="J84" i="5"/>
  <c r="J106" i="5"/>
  <c r="J126" i="5"/>
  <c r="J146" i="5"/>
  <c r="J166" i="5"/>
  <c r="J186" i="5"/>
  <c r="J6" i="5"/>
  <c r="J29" i="5"/>
  <c r="J54" i="5"/>
  <c r="J77" i="5"/>
  <c r="J100" i="5"/>
  <c r="J128" i="5"/>
  <c r="J151" i="5"/>
  <c r="J174" i="5"/>
  <c r="J199" i="5"/>
  <c r="J7" i="5"/>
  <c r="J30" i="5"/>
  <c r="J55" i="5"/>
  <c r="J78" i="5"/>
  <c r="J101" i="5"/>
  <c r="J129" i="5"/>
  <c r="J152" i="5"/>
  <c r="J176" i="5"/>
  <c r="J200" i="5"/>
  <c r="J8" i="5"/>
  <c r="J32" i="5"/>
  <c r="J56" i="5"/>
  <c r="J79" i="5"/>
  <c r="J107" i="5"/>
  <c r="J130" i="5"/>
  <c r="J153" i="5"/>
  <c r="J178" i="5"/>
  <c r="J201" i="5"/>
  <c r="J9" i="5"/>
  <c r="J34" i="5"/>
  <c r="J57" i="5"/>
  <c r="J80" i="5"/>
  <c r="J108" i="5"/>
  <c r="J131" i="5"/>
  <c r="J154" i="5"/>
  <c r="J179" i="5"/>
  <c r="J2" i="5"/>
  <c r="J10" i="5"/>
  <c r="J35" i="5"/>
  <c r="J58" i="5"/>
  <c r="J81" i="5"/>
  <c r="J109" i="5"/>
  <c r="J132" i="5"/>
  <c r="J155" i="5"/>
  <c r="J180" i="5"/>
  <c r="J11" i="5"/>
  <c r="J36" i="5"/>
  <c r="J59" i="5"/>
  <c r="J86" i="5"/>
  <c r="J110" i="5"/>
  <c r="J133" i="5"/>
  <c r="J156" i="5"/>
  <c r="J181" i="5"/>
  <c r="J12" i="5"/>
  <c r="J37" i="5"/>
  <c r="J60" i="5"/>
  <c r="J88" i="5"/>
  <c r="J111" i="5"/>
  <c r="J134" i="5"/>
  <c r="J158" i="5"/>
  <c r="J182" i="5"/>
  <c r="J14" i="5"/>
  <c r="J38" i="5"/>
  <c r="J61" i="5"/>
  <c r="J89" i="5"/>
  <c r="J112" i="5"/>
  <c r="J135" i="5"/>
  <c r="J160" i="5"/>
  <c r="J183" i="5"/>
  <c r="J16" i="5"/>
  <c r="J39" i="5"/>
  <c r="J65" i="5"/>
  <c r="J90" i="5"/>
  <c r="J113" i="5"/>
  <c r="J136" i="5"/>
  <c r="J161" i="5"/>
  <c r="J17" i="5"/>
  <c r="J66" i="5"/>
  <c r="J114" i="5"/>
  <c r="J162" i="5"/>
  <c r="J198" i="5"/>
  <c r="J18" i="5"/>
  <c r="J68" i="5"/>
  <c r="J115" i="5"/>
  <c r="J163" i="5"/>
  <c r="J19" i="5"/>
  <c r="J70" i="5"/>
  <c r="J116" i="5"/>
  <c r="J167" i="5"/>
  <c r="J20" i="5"/>
  <c r="J71" i="5"/>
  <c r="J117" i="5"/>
  <c r="J168" i="5"/>
  <c r="J21" i="5"/>
  <c r="J72" i="5"/>
  <c r="J118" i="5"/>
  <c r="J169" i="5"/>
  <c r="J25" i="5"/>
  <c r="J73" i="5"/>
  <c r="J119" i="5"/>
  <c r="J170" i="5"/>
  <c r="J26" i="5"/>
  <c r="J74" i="5"/>
  <c r="J120" i="5"/>
  <c r="J171" i="5"/>
  <c r="J27" i="5"/>
  <c r="J75" i="5"/>
  <c r="J122" i="5"/>
  <c r="J28" i="5"/>
  <c r="J76" i="5"/>
  <c r="J127" i="5"/>
  <c r="J40" i="5"/>
  <c r="J91" i="5"/>
  <c r="J137" i="5"/>
  <c r="J187" i="5"/>
  <c r="J45" i="5"/>
  <c r="J93" i="5"/>
  <c r="J140" i="5"/>
  <c r="J189" i="5"/>
  <c r="J95" i="5"/>
  <c r="J143" i="5"/>
  <c r="J191" i="5"/>
  <c r="J48" i="5"/>
  <c r="J147" i="5"/>
  <c r="J192" i="5"/>
  <c r="J50" i="5"/>
  <c r="J97" i="5"/>
  <c r="J148" i="5"/>
  <c r="J194" i="5"/>
  <c r="J98" i="5"/>
  <c r="J149" i="5"/>
  <c r="J196" i="5"/>
  <c r="J172" i="5"/>
  <c r="J173" i="5"/>
  <c r="J41" i="5"/>
  <c r="J92" i="5"/>
  <c r="J138" i="5"/>
  <c r="J188" i="5"/>
  <c r="J46" i="5"/>
  <c r="J94" i="5"/>
  <c r="J142" i="5"/>
  <c r="J190" i="5"/>
  <c r="J47" i="5"/>
  <c r="J96" i="5"/>
  <c r="J52" i="5"/>
  <c r="J5" i="5"/>
  <c r="J53" i="5"/>
  <c r="J99" i="5"/>
  <c r="J150" i="5"/>
  <c r="J197" i="5"/>
  <c r="R15" i="5"/>
  <c r="C197" i="9"/>
  <c r="B198" i="9"/>
  <c r="B198" i="6"/>
  <c r="B199" i="6"/>
  <c r="B197" i="6"/>
  <c r="C196" i="6"/>
  <c r="B197" i="9" l="1"/>
  <c r="C196" i="9"/>
  <c r="B196" i="6"/>
  <c r="C195" i="6"/>
  <c r="B196" i="9" l="1"/>
  <c r="C195" i="9"/>
  <c r="B195" i="6"/>
  <c r="C194" i="6"/>
  <c r="B195" i="9" l="1"/>
  <c r="C194" i="9"/>
  <c r="B194" i="6"/>
  <c r="C193" i="6"/>
  <c r="B194" i="9" l="1"/>
  <c r="C193" i="9"/>
  <c r="C192" i="6"/>
  <c r="B193" i="6"/>
  <c r="B193" i="9" l="1"/>
  <c r="C192" i="9"/>
  <c r="B192" i="6"/>
  <c r="C191" i="6"/>
  <c r="B192" i="9" l="1"/>
  <c r="C191" i="9"/>
  <c r="C190" i="6"/>
  <c r="B191" i="6"/>
  <c r="C190" i="9" l="1"/>
  <c r="B191" i="9"/>
  <c r="C189" i="6"/>
  <c r="B190" i="6"/>
  <c r="C189" i="9" l="1"/>
  <c r="B190" i="9"/>
  <c r="B189" i="6"/>
  <c r="C188" i="6"/>
  <c r="B189" i="9" l="1"/>
  <c r="C188" i="9"/>
  <c r="B188" i="6"/>
  <c r="C187" i="6"/>
  <c r="C187" i="9" l="1"/>
  <c r="B188" i="9"/>
  <c r="C186" i="6"/>
  <c r="B187" i="6"/>
  <c r="B187" i="9" l="1"/>
  <c r="C186" i="9"/>
  <c r="B186" i="6"/>
  <c r="C185" i="6"/>
  <c r="B186" i="9" l="1"/>
  <c r="C185" i="9"/>
  <c r="B185" i="6"/>
  <c r="C184" i="6"/>
  <c r="B185" i="9" l="1"/>
  <c r="C184" i="9"/>
  <c r="C183" i="6"/>
  <c r="B184" i="6"/>
  <c r="C183" i="9" l="1"/>
  <c r="B184" i="9"/>
  <c r="C182" i="6"/>
  <c r="B183" i="6"/>
  <c r="B183" i="9" l="1"/>
  <c r="C182" i="9"/>
  <c r="C181" i="6"/>
  <c r="B182" i="6"/>
  <c r="C181" i="9" l="1"/>
  <c r="B182" i="9"/>
  <c r="B181" i="6"/>
  <c r="C180" i="6"/>
  <c r="B181" i="9" l="1"/>
  <c r="C180" i="9"/>
  <c r="B180" i="6"/>
  <c r="C179" i="6"/>
  <c r="C179" i="9" l="1"/>
  <c r="B180" i="9"/>
  <c r="B179" i="6"/>
  <c r="C178" i="6"/>
  <c r="B179" i="9" l="1"/>
  <c r="C178" i="9"/>
  <c r="C177" i="6"/>
  <c r="B178" i="6"/>
  <c r="B178" i="9" l="1"/>
  <c r="C177" i="9"/>
  <c r="B177" i="6"/>
  <c r="C176" i="6"/>
  <c r="C176" i="9" l="1"/>
  <c r="B177" i="9"/>
  <c r="C175" i="6"/>
  <c r="B176" i="6"/>
  <c r="B176" i="9" l="1"/>
  <c r="C175" i="9"/>
  <c r="C174" i="6"/>
  <c r="B175" i="6"/>
  <c r="B175" i="9" l="1"/>
  <c r="C174" i="9"/>
  <c r="C173" i="6"/>
  <c r="B174" i="6"/>
  <c r="B174" i="9" l="1"/>
  <c r="C173" i="9"/>
  <c r="B173" i="6"/>
  <c r="C172" i="6"/>
  <c r="C172" i="9" l="1"/>
  <c r="B173" i="9"/>
  <c r="B172" i="6"/>
  <c r="C171" i="6"/>
  <c r="C171" i="9" l="1"/>
  <c r="B172" i="9"/>
  <c r="B171" i="6"/>
  <c r="C170" i="6"/>
  <c r="B171" i="9" l="1"/>
  <c r="C170" i="9"/>
  <c r="C169" i="6"/>
  <c r="B170" i="6"/>
  <c r="B170" i="9" l="1"/>
  <c r="C169" i="9"/>
  <c r="C168" i="6"/>
  <c r="B169" i="6"/>
  <c r="B169" i="9" l="1"/>
  <c r="C168" i="9"/>
  <c r="B168" i="6"/>
  <c r="C167" i="6"/>
  <c r="B168" i="9" l="1"/>
  <c r="C167" i="9"/>
  <c r="C166" i="6"/>
  <c r="B167" i="6"/>
  <c r="C166" i="9" l="1"/>
  <c r="B167" i="9"/>
  <c r="C165" i="6"/>
  <c r="B166" i="6"/>
  <c r="B166" i="9" l="1"/>
  <c r="C165" i="9"/>
  <c r="B165" i="6"/>
  <c r="C164" i="6"/>
  <c r="B165" i="9" l="1"/>
  <c r="C164" i="9"/>
  <c r="B164" i="6"/>
  <c r="C163" i="6"/>
  <c r="C163" i="9" l="1"/>
  <c r="B164" i="9"/>
  <c r="C162" i="6"/>
  <c r="B163" i="6"/>
  <c r="B163" i="9" l="1"/>
  <c r="C162" i="9"/>
  <c r="B162" i="6"/>
  <c r="C161" i="6"/>
  <c r="B162" i="9" l="1"/>
  <c r="C161" i="9"/>
  <c r="C160" i="6"/>
  <c r="B161" i="6"/>
  <c r="B161" i="9" l="1"/>
  <c r="C160" i="9"/>
  <c r="B160" i="6"/>
  <c r="C159" i="6"/>
  <c r="B160" i="9" l="1"/>
  <c r="C159" i="9"/>
  <c r="C158" i="6"/>
  <c r="B159" i="6"/>
  <c r="B159" i="9" l="1"/>
  <c r="C158" i="9"/>
  <c r="C157" i="6"/>
  <c r="B158" i="6"/>
  <c r="B158" i="9" l="1"/>
  <c r="C157" i="9"/>
  <c r="B157" i="6"/>
  <c r="C156" i="6"/>
  <c r="B157" i="9" l="1"/>
  <c r="C156" i="9"/>
  <c r="B156" i="6"/>
  <c r="C155" i="6"/>
  <c r="B156" i="9" l="1"/>
  <c r="C155" i="9"/>
  <c r="C154" i="6"/>
  <c r="B155" i="6"/>
  <c r="C154" i="9" l="1"/>
  <c r="B155" i="9"/>
  <c r="B154" i="6"/>
  <c r="C153" i="6"/>
  <c r="C153" i="9" l="1"/>
  <c r="B154" i="9"/>
  <c r="B153" i="6"/>
  <c r="C152" i="6"/>
  <c r="B153" i="9" l="1"/>
  <c r="C152" i="9"/>
  <c r="C151" i="6"/>
  <c r="B152" i="6"/>
  <c r="B152" i="9" l="1"/>
  <c r="C151" i="9"/>
  <c r="C150" i="6"/>
  <c r="B151" i="6"/>
  <c r="B151" i="9" l="1"/>
  <c r="C150" i="9"/>
  <c r="C149" i="6"/>
  <c r="B150" i="6"/>
  <c r="C149" i="9" l="1"/>
  <c r="B150" i="9"/>
  <c r="B149" i="6"/>
  <c r="C148" i="6"/>
  <c r="B149" i="9" l="1"/>
  <c r="C148" i="9"/>
  <c r="B148" i="6"/>
  <c r="C147" i="6"/>
  <c r="B148" i="9" l="1"/>
  <c r="C147" i="9"/>
  <c r="B147" i="6"/>
  <c r="C146" i="6"/>
  <c r="B147" i="9" l="1"/>
  <c r="C146" i="9"/>
  <c r="C145" i="6"/>
  <c r="B146" i="6"/>
  <c r="C145" i="9" l="1"/>
  <c r="B146" i="9"/>
  <c r="B145" i="6"/>
  <c r="C144" i="6"/>
  <c r="B145" i="9" l="1"/>
  <c r="C144" i="9"/>
  <c r="B144" i="6"/>
  <c r="C143" i="6"/>
  <c r="B144" i="9" l="1"/>
  <c r="C143" i="9"/>
  <c r="C142" i="6"/>
  <c r="B143" i="6"/>
  <c r="C142" i="9" l="1"/>
  <c r="B143" i="9"/>
  <c r="C141" i="6"/>
  <c r="B142" i="6"/>
  <c r="B142" i="9" l="1"/>
  <c r="C141" i="9"/>
  <c r="B141" i="6"/>
  <c r="C140" i="6"/>
  <c r="B141" i="9" l="1"/>
  <c r="C140" i="9"/>
  <c r="B140" i="6"/>
  <c r="C139" i="6"/>
  <c r="B140" i="9" l="1"/>
  <c r="C139" i="9"/>
  <c r="C138" i="6"/>
  <c r="B139" i="6"/>
  <c r="B139" i="9" l="1"/>
  <c r="C138" i="9"/>
  <c r="B138" i="6"/>
  <c r="C137" i="6"/>
  <c r="B138" i="9" l="1"/>
  <c r="C137" i="9"/>
  <c r="C136" i="6"/>
  <c r="B137" i="6"/>
  <c r="C136" i="9" l="1"/>
  <c r="B137" i="9"/>
  <c r="C135" i="6"/>
  <c r="B136" i="6"/>
  <c r="C135" i="9" l="1"/>
  <c r="B136" i="9"/>
  <c r="B135" i="6"/>
  <c r="C134" i="6"/>
  <c r="B135" i="9" l="1"/>
  <c r="C134" i="9"/>
  <c r="C133" i="6"/>
  <c r="B134" i="6"/>
  <c r="B134" i="9" l="1"/>
  <c r="C133" i="9"/>
  <c r="B133" i="6"/>
  <c r="C132" i="6"/>
  <c r="B133" i="9" l="1"/>
  <c r="C132" i="9"/>
  <c r="B132" i="6"/>
  <c r="C131" i="6"/>
  <c r="B132" i="9" l="1"/>
  <c r="C131" i="9"/>
  <c r="C130" i="6"/>
  <c r="B131" i="6"/>
  <c r="B131" i="9" l="1"/>
  <c r="C130" i="9"/>
  <c r="B130" i="6"/>
  <c r="C129" i="6"/>
  <c r="B130" i="9" l="1"/>
  <c r="C129" i="9"/>
  <c r="B129" i="6"/>
  <c r="C128" i="6"/>
  <c r="B129" i="9" l="1"/>
  <c r="C128" i="9"/>
  <c r="C127" i="6"/>
  <c r="B128" i="6"/>
  <c r="C127" i="9" l="1"/>
  <c r="B128" i="9"/>
  <c r="C126" i="6"/>
  <c r="B127" i="6"/>
  <c r="B127" i="9" l="1"/>
  <c r="C126" i="9"/>
  <c r="C125" i="6"/>
  <c r="B126" i="6"/>
  <c r="B126" i="9" l="1"/>
  <c r="C125" i="9"/>
  <c r="C124" i="6"/>
  <c r="B125" i="6"/>
  <c r="C124" i="9" l="1"/>
  <c r="B125" i="9"/>
  <c r="B124" i="6"/>
  <c r="C123" i="6"/>
  <c r="B124" i="9" l="1"/>
  <c r="C123" i="9"/>
  <c r="C122" i="6"/>
  <c r="B123" i="6"/>
  <c r="B123" i="9" l="1"/>
  <c r="C122" i="9"/>
  <c r="B122" i="6"/>
  <c r="C121" i="6"/>
  <c r="B122" i="9" l="1"/>
  <c r="C121" i="9"/>
  <c r="B121" i="6"/>
  <c r="C120" i="6"/>
  <c r="B121" i="9" l="1"/>
  <c r="C120" i="9"/>
  <c r="C119" i="6"/>
  <c r="B120" i="6"/>
  <c r="C119" i="9" l="1"/>
  <c r="B120" i="9"/>
  <c r="C118" i="6"/>
  <c r="B119" i="6"/>
  <c r="C118" i="9" l="1"/>
  <c r="B119" i="9"/>
  <c r="C117" i="6"/>
  <c r="B118" i="6"/>
  <c r="C117" i="9" l="1"/>
  <c r="B118" i="9"/>
  <c r="B117" i="6"/>
  <c r="C116" i="6"/>
  <c r="B117" i="9" l="1"/>
  <c r="C116" i="9"/>
  <c r="B116" i="6"/>
  <c r="C115" i="6"/>
  <c r="B116" i="9" l="1"/>
  <c r="C115" i="9"/>
  <c r="B115" i="6"/>
  <c r="C114" i="6"/>
  <c r="B115" i="9" l="1"/>
  <c r="C114" i="9"/>
  <c r="C113" i="6"/>
  <c r="B114" i="6"/>
  <c r="B114" i="9" l="1"/>
  <c r="C113" i="9"/>
  <c r="B113" i="6"/>
  <c r="C112" i="6"/>
  <c r="B113" i="9" l="1"/>
  <c r="C112" i="9"/>
  <c r="B112" i="6"/>
  <c r="C111" i="6"/>
  <c r="B112" i="9" l="1"/>
  <c r="C111" i="9"/>
  <c r="C110" i="6"/>
  <c r="B111" i="6"/>
  <c r="B111" i="9" l="1"/>
  <c r="C110" i="9"/>
  <c r="C109" i="6"/>
  <c r="B110" i="6"/>
  <c r="C109" i="9" l="1"/>
  <c r="B110" i="9"/>
  <c r="B109" i="6"/>
  <c r="C108" i="6"/>
  <c r="B109" i="9" l="1"/>
  <c r="C108" i="9"/>
  <c r="B108" i="6"/>
  <c r="C107" i="6"/>
  <c r="B108" i="9" l="1"/>
  <c r="C107" i="9"/>
  <c r="B107" i="6"/>
  <c r="C106" i="6"/>
  <c r="C106" i="9" l="1"/>
  <c r="B107" i="9"/>
  <c r="C105" i="6"/>
  <c r="B106" i="6"/>
  <c r="B106" i="9" l="1"/>
  <c r="C105" i="9"/>
  <c r="C104" i="6"/>
  <c r="B105" i="6"/>
  <c r="B105" i="9" l="1"/>
  <c r="C104" i="9"/>
  <c r="B104" i="6"/>
  <c r="C103" i="6"/>
  <c r="B104" i="9" l="1"/>
  <c r="C103" i="9"/>
  <c r="B103" i="6"/>
  <c r="C102" i="6"/>
  <c r="C102" i="9" l="1"/>
  <c r="B103" i="9"/>
  <c r="B102" i="6"/>
  <c r="C101" i="6"/>
  <c r="B102" i="9" l="1"/>
  <c r="C101" i="9"/>
  <c r="C100" i="6"/>
  <c r="B101" i="6"/>
  <c r="C100" i="9" l="1"/>
  <c r="B101" i="9"/>
  <c r="B100" i="6"/>
  <c r="C99" i="6"/>
  <c r="C99" i="9" l="1"/>
  <c r="B100" i="9"/>
  <c r="B99" i="6"/>
  <c r="C98" i="6"/>
  <c r="B99" i="9" l="1"/>
  <c r="C98" i="9"/>
  <c r="C97" i="6"/>
  <c r="B98" i="6"/>
  <c r="C97" i="9" l="1"/>
  <c r="B98" i="9"/>
  <c r="C96" i="6"/>
  <c r="B97" i="6"/>
  <c r="B97" i="9" l="1"/>
  <c r="C96" i="9"/>
  <c r="B96" i="6"/>
  <c r="C95" i="6"/>
  <c r="B96" i="9" l="1"/>
  <c r="C95" i="9"/>
  <c r="B95" i="6"/>
  <c r="C94" i="6"/>
  <c r="B95" i="9" l="1"/>
  <c r="C94" i="9"/>
  <c r="C93" i="6"/>
  <c r="B94" i="6"/>
  <c r="B94" i="9" l="1"/>
  <c r="C93" i="9"/>
  <c r="B93" i="6"/>
  <c r="C92" i="6"/>
  <c r="B93" i="9" l="1"/>
  <c r="C92" i="9"/>
  <c r="C91" i="6"/>
  <c r="B92" i="6"/>
  <c r="C91" i="9" l="1"/>
  <c r="B92" i="9"/>
  <c r="B91" i="6"/>
  <c r="C90" i="6"/>
  <c r="B91" i="9" l="1"/>
  <c r="C90" i="9"/>
  <c r="C89" i="6"/>
  <c r="B90" i="6"/>
  <c r="C89" i="9" l="1"/>
  <c r="B90" i="9"/>
  <c r="C88" i="6"/>
  <c r="B89" i="6"/>
  <c r="B89" i="9" l="1"/>
  <c r="C88" i="9"/>
  <c r="B88" i="6"/>
  <c r="C87" i="6"/>
  <c r="B88" i="9" l="1"/>
  <c r="C87" i="9"/>
  <c r="B87" i="6"/>
  <c r="C86" i="6"/>
  <c r="C86" i="9" l="1"/>
  <c r="B87" i="9"/>
  <c r="C85" i="6"/>
  <c r="B86" i="6"/>
  <c r="C85" i="9" l="1"/>
  <c r="B86" i="9"/>
  <c r="B85" i="6"/>
  <c r="C84" i="6"/>
  <c r="B85" i="9" l="1"/>
  <c r="C84" i="9"/>
  <c r="B84" i="6"/>
  <c r="C83" i="6"/>
  <c r="B84" i="9" l="1"/>
  <c r="C83" i="9"/>
  <c r="B83" i="6"/>
  <c r="C82" i="6"/>
  <c r="C82" i="9" l="1"/>
  <c r="B83" i="9"/>
  <c r="C81" i="6"/>
  <c r="B82" i="6"/>
  <c r="C81" i="9" l="1"/>
  <c r="B82" i="9"/>
  <c r="C80" i="6"/>
  <c r="B81" i="6"/>
  <c r="B81" i="9" l="1"/>
  <c r="C80" i="9"/>
  <c r="B80" i="6"/>
  <c r="C79" i="6"/>
  <c r="B80" i="9" l="1"/>
  <c r="C79" i="9"/>
  <c r="B79" i="6"/>
  <c r="C78" i="6"/>
  <c r="B79" i="9" l="1"/>
  <c r="C78" i="9"/>
  <c r="C77" i="6"/>
  <c r="B78" i="6"/>
  <c r="B78" i="9" l="1"/>
  <c r="C77" i="9"/>
  <c r="C76" i="6"/>
  <c r="B77" i="6"/>
  <c r="B77" i="9" l="1"/>
  <c r="C76" i="9"/>
  <c r="B76" i="6"/>
  <c r="C75" i="6"/>
  <c r="B76" i="9" l="1"/>
  <c r="C75" i="9"/>
  <c r="B75" i="6"/>
  <c r="C74" i="6"/>
  <c r="B75" i="9" l="1"/>
  <c r="C74" i="9"/>
  <c r="C73" i="6"/>
  <c r="B74" i="6"/>
  <c r="C73" i="9" l="1"/>
  <c r="B74" i="9"/>
  <c r="C72" i="6"/>
  <c r="B73" i="6"/>
  <c r="B73" i="9" l="1"/>
  <c r="C72" i="9"/>
  <c r="B72" i="6"/>
  <c r="C71" i="6"/>
  <c r="C71" i="9" l="1"/>
  <c r="B72" i="9"/>
  <c r="B71" i="6"/>
  <c r="C70" i="6"/>
  <c r="C70" i="9" l="1"/>
  <c r="B71" i="9"/>
  <c r="B70" i="6"/>
  <c r="C69" i="6"/>
  <c r="B70" i="9" l="1"/>
  <c r="C69" i="9"/>
  <c r="C68" i="6"/>
  <c r="B69" i="6"/>
  <c r="B69" i="9" l="1"/>
  <c r="C68" i="9"/>
  <c r="B68" i="6"/>
  <c r="C67" i="6"/>
  <c r="B68" i="9" l="1"/>
  <c r="C67" i="9"/>
  <c r="B67" i="6"/>
  <c r="C66" i="6"/>
  <c r="B67" i="9" l="1"/>
  <c r="C66" i="9"/>
  <c r="B66" i="6"/>
  <c r="C65" i="6"/>
  <c r="B66" i="9" l="1"/>
  <c r="C65" i="9"/>
  <c r="C64" i="6"/>
  <c r="B65" i="6"/>
  <c r="C64" i="9" l="1"/>
  <c r="B65" i="9"/>
  <c r="C63" i="6"/>
  <c r="B64" i="6"/>
  <c r="C63" i="9" l="1"/>
  <c r="B64" i="9"/>
  <c r="B63" i="6"/>
  <c r="C62" i="6"/>
  <c r="B63" i="9" l="1"/>
  <c r="C62" i="9"/>
  <c r="B62" i="6"/>
  <c r="C61" i="6"/>
  <c r="B62" i="9" l="1"/>
  <c r="C61" i="9"/>
  <c r="C60" i="6"/>
  <c r="B61" i="6"/>
  <c r="B61" i="9" l="1"/>
  <c r="C60" i="9"/>
  <c r="C59" i="6"/>
  <c r="B60" i="6"/>
  <c r="B60" i="9" l="1"/>
  <c r="C59" i="9"/>
  <c r="B59" i="6"/>
  <c r="C58" i="6"/>
  <c r="B59" i="9" l="1"/>
  <c r="C58" i="9"/>
  <c r="B58" i="6"/>
  <c r="C57" i="6"/>
  <c r="B58" i="9" l="1"/>
  <c r="C57" i="9"/>
  <c r="C56" i="6"/>
  <c r="B57" i="6"/>
  <c r="B57" i="9" l="1"/>
  <c r="C56" i="9"/>
  <c r="C55" i="6"/>
  <c r="B56" i="6"/>
  <c r="C55" i="9" l="1"/>
  <c r="B56" i="9"/>
  <c r="B55" i="6"/>
  <c r="C54" i="6"/>
  <c r="B55" i="9" l="1"/>
  <c r="C54" i="9"/>
  <c r="B54" i="6"/>
  <c r="C53" i="6"/>
  <c r="C53" i="9" l="1"/>
  <c r="B54" i="9"/>
  <c r="C52" i="6"/>
  <c r="B53" i="6"/>
  <c r="B53" i="9" l="1"/>
  <c r="C52" i="9"/>
  <c r="C51" i="6"/>
  <c r="B52" i="6"/>
  <c r="B52" i="9" l="1"/>
  <c r="C51" i="9"/>
  <c r="C50" i="6"/>
  <c r="B51" i="6"/>
  <c r="B51" i="9" l="1"/>
  <c r="C50" i="9"/>
  <c r="B50" i="6"/>
  <c r="C49" i="6"/>
  <c r="B50" i="9" l="1"/>
  <c r="C49" i="9"/>
  <c r="C48" i="6"/>
  <c r="B49" i="6"/>
  <c r="B49" i="9" l="1"/>
  <c r="C48" i="9"/>
  <c r="C47" i="6"/>
  <c r="B48" i="6"/>
  <c r="C47" i="9" l="1"/>
  <c r="B48" i="9"/>
  <c r="B47" i="6"/>
  <c r="C46" i="6"/>
  <c r="C46" i="9" l="1"/>
  <c r="B47" i="9"/>
  <c r="B46" i="6"/>
  <c r="C45" i="6"/>
  <c r="C45" i="9" l="1"/>
  <c r="B46" i="9"/>
  <c r="C44" i="6"/>
  <c r="B45" i="6"/>
  <c r="B45" i="9" l="1"/>
  <c r="C44" i="9"/>
  <c r="B44" i="6"/>
  <c r="C43" i="6"/>
  <c r="B44" i="9" l="1"/>
  <c r="C43" i="9"/>
  <c r="C42" i="6"/>
  <c r="B43" i="6"/>
  <c r="B43" i="9" l="1"/>
  <c r="C42" i="9"/>
  <c r="C41" i="6"/>
  <c r="B42" i="6"/>
  <c r="B42" i="9" l="1"/>
  <c r="C41" i="9"/>
  <c r="C40" i="6"/>
  <c r="B41" i="6"/>
  <c r="B41" i="9" l="1"/>
  <c r="C40" i="9"/>
  <c r="B40" i="6"/>
  <c r="C39" i="6"/>
  <c r="C39" i="9" l="1"/>
  <c r="B40" i="9"/>
  <c r="B39" i="6"/>
  <c r="C38" i="6"/>
  <c r="B39" i="9" l="1"/>
  <c r="C38" i="9"/>
  <c r="C37" i="6"/>
  <c r="B38" i="6"/>
  <c r="C37" i="9" l="1"/>
  <c r="B38" i="9"/>
  <c r="B37" i="6"/>
  <c r="C36" i="6"/>
  <c r="B37" i="9" l="1"/>
  <c r="C36" i="9"/>
  <c r="C35" i="6"/>
  <c r="B36" i="6"/>
  <c r="C35" i="9" l="1"/>
  <c r="B36" i="9"/>
  <c r="B35" i="6"/>
  <c r="C34" i="6"/>
  <c r="B35" i="9" l="1"/>
  <c r="C34" i="9"/>
  <c r="B34" i="6"/>
  <c r="C33" i="6"/>
  <c r="B34" i="9" l="1"/>
  <c r="C33" i="9"/>
  <c r="C32" i="6"/>
  <c r="B33" i="6"/>
  <c r="B33" i="9" l="1"/>
  <c r="C32" i="9"/>
  <c r="C31" i="6"/>
  <c r="B32" i="6"/>
  <c r="B32" i="9" l="1"/>
  <c r="C31" i="9"/>
  <c r="B31" i="6"/>
  <c r="C30" i="6"/>
  <c r="B31" i="9" l="1"/>
  <c r="C30" i="9"/>
  <c r="C29" i="6"/>
  <c r="B30" i="6"/>
  <c r="B30" i="9" l="1"/>
  <c r="C29" i="9"/>
  <c r="C28" i="6"/>
  <c r="B29" i="6"/>
  <c r="C28" i="9" l="1"/>
  <c r="B29" i="9"/>
  <c r="B28" i="6"/>
  <c r="C27" i="6"/>
  <c r="C27" i="9" l="1"/>
  <c r="B28" i="9"/>
  <c r="C26" i="6"/>
  <c r="B27" i="6"/>
  <c r="B27" i="9" l="1"/>
  <c r="C26" i="9"/>
  <c r="C25" i="6"/>
  <c r="B26" i="6"/>
  <c r="B26" i="9" l="1"/>
  <c r="C25" i="9"/>
  <c r="C24" i="6"/>
  <c r="B25" i="6"/>
  <c r="B25" i="9" l="1"/>
  <c r="C24" i="9"/>
  <c r="C23" i="6"/>
  <c r="B24" i="6"/>
  <c r="C23" i="9" l="1"/>
  <c r="B24" i="9"/>
  <c r="B23" i="6"/>
  <c r="C22" i="6"/>
  <c r="B23" i="9" l="1"/>
  <c r="C22" i="9"/>
  <c r="B22" i="6"/>
  <c r="C21" i="6"/>
  <c r="B22" i="9" l="1"/>
  <c r="C21" i="9"/>
  <c r="C20" i="6"/>
  <c r="B21" i="6"/>
  <c r="B21" i="9" l="1"/>
  <c r="C20" i="9"/>
  <c r="B20" i="6"/>
  <c r="C19" i="6"/>
  <c r="C19" i="9" l="1"/>
  <c r="B20" i="9"/>
  <c r="B19" i="6"/>
  <c r="C18" i="6"/>
  <c r="B19" i="9" l="1"/>
  <c r="C18" i="9"/>
  <c r="C17" i="6"/>
  <c r="B18" i="6"/>
  <c r="B18" i="9" l="1"/>
  <c r="C17" i="9"/>
  <c r="C16" i="6"/>
  <c r="B17" i="6"/>
  <c r="B17" i="9" l="1"/>
  <c r="C16" i="9"/>
  <c r="B16" i="6"/>
  <c r="C15" i="6"/>
  <c r="B16" i="9" l="1"/>
  <c r="C15" i="9"/>
  <c r="B15" i="6"/>
  <c r="C14" i="6"/>
  <c r="B15" i="9" l="1"/>
  <c r="C14" i="9"/>
  <c r="C13" i="6"/>
  <c r="B14" i="6"/>
  <c r="B14" i="9" l="1"/>
  <c r="C13" i="9"/>
  <c r="C12" i="6"/>
  <c r="B13" i="6"/>
  <c r="B13" i="9" l="1"/>
  <c r="C12" i="9"/>
  <c r="C11" i="6"/>
  <c r="B12" i="6"/>
  <c r="B12" i="9" l="1"/>
  <c r="C11" i="9"/>
  <c r="C10" i="6"/>
  <c r="B11" i="6"/>
  <c r="C10" i="9" l="1"/>
  <c r="B11" i="9"/>
  <c r="B10" i="6"/>
  <c r="C9" i="6"/>
  <c r="C9" i="9" l="1"/>
  <c r="B10" i="9"/>
  <c r="C8" i="6"/>
  <c r="B9" i="6"/>
  <c r="B9" i="9" l="1"/>
  <c r="C8" i="9"/>
  <c r="C7" i="6"/>
  <c r="B8" i="6"/>
  <c r="B8" i="9" l="1"/>
  <c r="C7" i="9"/>
  <c r="B7" i="6"/>
  <c r="C6" i="6"/>
  <c r="B7" i="9" l="1"/>
  <c r="C6" i="9"/>
  <c r="C5" i="6"/>
  <c r="B6" i="6"/>
  <c r="B6" i="9" l="1"/>
  <c r="C5" i="9"/>
  <c r="C4" i="6"/>
  <c r="B5" i="6"/>
  <c r="B5" i="9" l="1"/>
  <c r="C4" i="9"/>
  <c r="B4" i="6"/>
  <c r="C3" i="6"/>
  <c r="B4" i="9" l="1"/>
  <c r="C3" i="9"/>
  <c r="B3" i="6"/>
  <c r="C2" i="6"/>
  <c r="B2" i="6" s="1"/>
  <c r="C2" i="9" l="1"/>
  <c r="B2" i="9" s="1"/>
  <c r="B3" i="9"/>
  <c r="C200" i="1"/>
  <c r="C199" i="1" l="1"/>
  <c r="B200" i="1"/>
  <c r="C198" i="1" l="1"/>
  <c r="B199" i="1"/>
  <c r="C197" i="1" l="1"/>
  <c r="B198" i="1"/>
  <c r="C196" i="1" l="1"/>
  <c r="B197" i="1"/>
  <c r="C195" i="1" l="1"/>
  <c r="B196" i="1"/>
  <c r="C194" i="1" l="1"/>
  <c r="B195" i="1"/>
  <c r="C193" i="1" l="1"/>
  <c r="B194" i="1"/>
  <c r="C192" i="1" l="1"/>
  <c r="B193" i="1"/>
  <c r="C191" i="1" l="1"/>
  <c r="B192" i="1"/>
  <c r="C190" i="1" l="1"/>
  <c r="B191" i="1"/>
  <c r="C189" i="1" l="1"/>
  <c r="B190" i="1"/>
  <c r="C188" i="1" l="1"/>
  <c r="B189" i="1"/>
  <c r="C187" i="1" l="1"/>
  <c r="B188" i="1"/>
  <c r="C186" i="1" l="1"/>
  <c r="B187" i="1"/>
  <c r="C185" i="1" l="1"/>
  <c r="B186" i="1"/>
  <c r="C184" i="1" l="1"/>
  <c r="B185" i="1"/>
  <c r="C183" i="1" l="1"/>
  <c r="B184" i="1"/>
  <c r="C182" i="1" l="1"/>
  <c r="B183" i="1"/>
  <c r="C181" i="1" l="1"/>
  <c r="B182" i="1"/>
  <c r="C180" i="1" l="1"/>
  <c r="B181" i="1"/>
  <c r="C179" i="1" l="1"/>
  <c r="B180" i="1"/>
  <c r="C178" i="1" l="1"/>
  <c r="B179" i="1"/>
  <c r="C177" i="1" l="1"/>
  <c r="B178" i="1"/>
  <c r="C176" i="1" l="1"/>
  <c r="B177" i="1"/>
  <c r="C175" i="1" l="1"/>
  <c r="B176" i="1"/>
  <c r="C174" i="1" l="1"/>
  <c r="B175" i="1"/>
  <c r="C173" i="1" l="1"/>
  <c r="B174" i="1"/>
  <c r="C172" i="1" l="1"/>
  <c r="B173" i="1"/>
  <c r="C171" i="1" l="1"/>
  <c r="B172" i="1"/>
  <c r="C170" i="1" l="1"/>
  <c r="B171" i="1"/>
  <c r="C169" i="1" l="1"/>
  <c r="B170" i="1"/>
  <c r="C168" i="1" l="1"/>
  <c r="B169" i="1"/>
  <c r="C167" i="1" l="1"/>
  <c r="B168" i="1"/>
  <c r="C166" i="1" l="1"/>
  <c r="B167" i="1"/>
  <c r="C165" i="1" l="1"/>
  <c r="B166" i="1"/>
  <c r="C164" i="1" l="1"/>
  <c r="B165" i="1"/>
  <c r="C163" i="1" l="1"/>
  <c r="B164" i="1"/>
  <c r="C162" i="1" l="1"/>
  <c r="B163" i="1"/>
  <c r="C161" i="1" l="1"/>
  <c r="B162" i="1"/>
  <c r="C160" i="1" l="1"/>
  <c r="B161" i="1"/>
  <c r="C159" i="1" l="1"/>
  <c r="B160" i="1"/>
  <c r="C158" i="1" l="1"/>
  <c r="B159" i="1"/>
  <c r="C157" i="1" l="1"/>
  <c r="B158" i="1"/>
  <c r="C156" i="1" l="1"/>
  <c r="B157" i="1"/>
  <c r="C155" i="1" l="1"/>
  <c r="B156" i="1"/>
  <c r="C154" i="1" l="1"/>
  <c r="B155" i="1"/>
  <c r="C153" i="1" l="1"/>
  <c r="B154" i="1"/>
  <c r="C152" i="1" l="1"/>
  <c r="B153" i="1"/>
  <c r="C151" i="1" l="1"/>
  <c r="B152" i="1"/>
  <c r="C150" i="1" l="1"/>
  <c r="B151" i="1"/>
  <c r="C149" i="1" l="1"/>
  <c r="B150" i="1"/>
  <c r="C148" i="1" l="1"/>
  <c r="B149" i="1"/>
  <c r="C147" i="1" l="1"/>
  <c r="B148" i="1"/>
  <c r="C146" i="1" l="1"/>
  <c r="B147" i="1"/>
  <c r="C145" i="1" l="1"/>
  <c r="B146" i="1"/>
  <c r="C144" i="1" l="1"/>
  <c r="B145" i="1"/>
  <c r="M145" i="1" s="1"/>
  <c r="C143" i="1" l="1"/>
  <c r="B144" i="1"/>
  <c r="C142" i="1" l="1"/>
  <c r="B143" i="1"/>
  <c r="C141" i="1" l="1"/>
  <c r="B142" i="1"/>
  <c r="C140" i="1" l="1"/>
  <c r="B141" i="1"/>
  <c r="C139" i="1" l="1"/>
  <c r="B140" i="1"/>
  <c r="C138" i="1" l="1"/>
  <c r="B139" i="1"/>
  <c r="C137" i="1" l="1"/>
  <c r="B138" i="1"/>
  <c r="C136" i="1" l="1"/>
  <c r="B137" i="1"/>
  <c r="C135" i="1" l="1"/>
  <c r="B136" i="1"/>
  <c r="C134" i="1" l="1"/>
  <c r="B135" i="1"/>
  <c r="M135" i="1" s="1"/>
  <c r="C133" i="1" l="1"/>
  <c r="B134" i="1"/>
  <c r="C132" i="1" l="1"/>
  <c r="B133" i="1"/>
  <c r="C131" i="1" l="1"/>
  <c r="B132" i="1"/>
  <c r="C130" i="1" l="1"/>
  <c r="B131" i="1"/>
  <c r="C129" i="1" l="1"/>
  <c r="B130" i="1"/>
  <c r="C128" i="1" l="1"/>
  <c r="B129" i="1"/>
  <c r="C127" i="1" l="1"/>
  <c r="B128" i="1"/>
  <c r="C126" i="1" l="1"/>
  <c r="B127" i="1"/>
  <c r="C125" i="1" l="1"/>
  <c r="B126" i="1"/>
  <c r="C124" i="1" l="1"/>
  <c r="B125" i="1"/>
  <c r="C123" i="1" l="1"/>
  <c r="B124" i="1"/>
  <c r="C122" i="1" l="1"/>
  <c r="B123" i="1"/>
  <c r="C121" i="1" l="1"/>
  <c r="B122" i="1"/>
  <c r="C120" i="1" l="1"/>
  <c r="B121" i="1"/>
  <c r="C119" i="1" l="1"/>
  <c r="B120" i="1"/>
  <c r="C118" i="1" l="1"/>
  <c r="B119" i="1"/>
  <c r="C117" i="1" l="1"/>
  <c r="B118" i="1"/>
  <c r="C116" i="1" l="1"/>
  <c r="B117" i="1"/>
  <c r="C115" i="1" l="1"/>
  <c r="B116" i="1"/>
  <c r="C114" i="1" l="1"/>
  <c r="B115" i="1"/>
  <c r="C113" i="1" l="1"/>
  <c r="B114" i="1"/>
  <c r="C112" i="1" l="1"/>
  <c r="B113" i="1"/>
  <c r="C111" i="1" l="1"/>
  <c r="B112" i="1"/>
  <c r="C110" i="1" l="1"/>
  <c r="B111" i="1"/>
  <c r="M111" i="1" s="1"/>
  <c r="C109" i="1" l="1"/>
  <c r="B110" i="1"/>
  <c r="C108" i="1" l="1"/>
  <c r="B109" i="1"/>
  <c r="C107" i="1" l="1"/>
  <c r="B108" i="1"/>
  <c r="C106" i="1" l="1"/>
  <c r="B107" i="1"/>
  <c r="C105" i="1" l="1"/>
  <c r="B106" i="1"/>
  <c r="C104" i="1" l="1"/>
  <c r="B105" i="1"/>
  <c r="C103" i="1" l="1"/>
  <c r="B104" i="1"/>
  <c r="C102" i="1" l="1"/>
  <c r="B103" i="1"/>
  <c r="C101" i="1" l="1"/>
  <c r="B102" i="1"/>
  <c r="C100" i="1" l="1"/>
  <c r="B101" i="1"/>
  <c r="C99" i="1" l="1"/>
  <c r="B100" i="1"/>
  <c r="C98" i="1" l="1"/>
  <c r="B99" i="1"/>
  <c r="C97" i="1" l="1"/>
  <c r="B98" i="1"/>
  <c r="C96" i="1" l="1"/>
  <c r="B97" i="1"/>
  <c r="C95" i="1" l="1"/>
  <c r="B96" i="1"/>
  <c r="C94" i="1" l="1"/>
  <c r="B95" i="1"/>
  <c r="C93" i="1" l="1"/>
  <c r="B94" i="1"/>
  <c r="C92" i="1" l="1"/>
  <c r="B93" i="1"/>
  <c r="C91" i="1" l="1"/>
  <c r="B92" i="1"/>
  <c r="C90" i="1" l="1"/>
  <c r="B91" i="1"/>
  <c r="C89" i="1" l="1"/>
  <c r="B90" i="1"/>
  <c r="C88" i="1" l="1"/>
  <c r="B89" i="1"/>
  <c r="C87" i="1" l="1"/>
  <c r="B88" i="1"/>
  <c r="C86" i="1" l="1"/>
  <c r="B87" i="1"/>
  <c r="C85" i="1" l="1"/>
  <c r="B86" i="1"/>
  <c r="C84" i="1" l="1"/>
  <c r="B85" i="1"/>
  <c r="C83" i="1" l="1"/>
  <c r="B84" i="1"/>
  <c r="C82" i="1" l="1"/>
  <c r="B83" i="1"/>
  <c r="C81" i="1" l="1"/>
  <c r="B82" i="1"/>
  <c r="C80" i="1" l="1"/>
  <c r="B81" i="1"/>
  <c r="C79" i="1" l="1"/>
  <c r="B80" i="1"/>
  <c r="C78" i="1" l="1"/>
  <c r="B79" i="1"/>
  <c r="C77" i="1" l="1"/>
  <c r="B78" i="1"/>
  <c r="C76" i="1" l="1"/>
  <c r="B77" i="1"/>
  <c r="C75" i="1" l="1"/>
  <c r="B76" i="1"/>
  <c r="C74" i="1" l="1"/>
  <c r="B75" i="1"/>
  <c r="C73" i="1" l="1"/>
  <c r="B74" i="1"/>
  <c r="C72" i="1" l="1"/>
  <c r="B73" i="1"/>
  <c r="C71" i="1" l="1"/>
  <c r="B72" i="1"/>
  <c r="C70" i="1" l="1"/>
  <c r="B71" i="1"/>
  <c r="C69" i="1" l="1"/>
  <c r="B70" i="1"/>
  <c r="C68" i="1" l="1"/>
  <c r="B69" i="1"/>
  <c r="C67" i="1" l="1"/>
  <c r="B68" i="1"/>
  <c r="C66" i="1" l="1"/>
  <c r="B67" i="1"/>
  <c r="C65" i="1" l="1"/>
  <c r="B66" i="1"/>
  <c r="C64" i="1" l="1"/>
  <c r="B65" i="1"/>
  <c r="C63" i="1" l="1"/>
  <c r="B64" i="1"/>
  <c r="C62" i="1" l="1"/>
  <c r="B63" i="1"/>
  <c r="C61" i="1" l="1"/>
  <c r="B62" i="1"/>
  <c r="C60" i="1" l="1"/>
  <c r="B61" i="1"/>
  <c r="C59" i="1" l="1"/>
  <c r="B60" i="1"/>
  <c r="C58" i="1" l="1"/>
  <c r="B59" i="1"/>
  <c r="C57" i="1" l="1"/>
  <c r="B58" i="1"/>
  <c r="C56" i="1" l="1"/>
  <c r="B57" i="1"/>
  <c r="C55" i="1" l="1"/>
  <c r="B56" i="1"/>
  <c r="C54" i="1" l="1"/>
  <c r="B55" i="1"/>
  <c r="C53" i="1" l="1"/>
  <c r="B54" i="1"/>
  <c r="C52" i="1" l="1"/>
  <c r="B53" i="1"/>
  <c r="C51" i="1" l="1"/>
  <c r="B52" i="1"/>
  <c r="C50" i="1" l="1"/>
  <c r="B51" i="1"/>
  <c r="C49" i="1" l="1"/>
  <c r="B50" i="1"/>
  <c r="C48" i="1" l="1"/>
  <c r="B49" i="1"/>
  <c r="C47" i="1" l="1"/>
  <c r="B48" i="1"/>
  <c r="C46" i="1" l="1"/>
  <c r="B47" i="1"/>
  <c r="C45" i="1" l="1"/>
  <c r="B46" i="1"/>
  <c r="C44" i="1" l="1"/>
  <c r="B45" i="1"/>
  <c r="C43" i="1" l="1"/>
  <c r="B44" i="1"/>
  <c r="C42" i="1" l="1"/>
  <c r="B43" i="1"/>
  <c r="C41" i="1" l="1"/>
  <c r="B42" i="1"/>
  <c r="C40" i="1" l="1"/>
  <c r="B41" i="1"/>
  <c r="C39" i="1" l="1"/>
  <c r="B40" i="1"/>
  <c r="C38" i="1" l="1"/>
  <c r="B39" i="1"/>
  <c r="C37" i="1" l="1"/>
  <c r="B38" i="1"/>
  <c r="C36" i="1" l="1"/>
  <c r="B37" i="1"/>
  <c r="C35" i="1" l="1"/>
  <c r="B36" i="1"/>
  <c r="C34" i="1" l="1"/>
  <c r="B35" i="1"/>
  <c r="C33" i="1" l="1"/>
  <c r="B34" i="1"/>
  <c r="C32" i="1" l="1"/>
  <c r="B33" i="1"/>
  <c r="C31" i="1" l="1"/>
  <c r="B32" i="1"/>
  <c r="C30" i="1" l="1"/>
  <c r="B31" i="1"/>
  <c r="C29" i="1" l="1"/>
  <c r="B30" i="1"/>
  <c r="C28" i="1" l="1"/>
  <c r="B29" i="1"/>
  <c r="C27" i="1" l="1"/>
  <c r="B28" i="1"/>
  <c r="C26" i="1" l="1"/>
  <c r="B27" i="1"/>
  <c r="C25" i="1" l="1"/>
  <c r="B26" i="1"/>
  <c r="C24" i="1" l="1"/>
  <c r="B25" i="1"/>
  <c r="C23" i="1" l="1"/>
  <c r="B24" i="1"/>
  <c r="M24" i="1" s="1"/>
  <c r="C22" i="1" l="1"/>
  <c r="B23" i="1"/>
  <c r="C21" i="1" l="1"/>
  <c r="B22" i="1"/>
  <c r="C20" i="1" l="1"/>
  <c r="B21" i="1"/>
  <c r="C19" i="1" l="1"/>
  <c r="B20" i="1"/>
  <c r="C18" i="1" l="1"/>
  <c r="B19" i="1"/>
  <c r="C17" i="1" l="1"/>
  <c r="B18" i="1"/>
  <c r="C16" i="1" l="1"/>
  <c r="B17" i="1"/>
  <c r="C15" i="1" l="1"/>
  <c r="B16" i="1"/>
  <c r="C14" i="1" l="1"/>
  <c r="B15" i="1"/>
  <c r="C13" i="1" l="1"/>
  <c r="B14" i="1"/>
  <c r="C12" i="1" l="1"/>
  <c r="B13" i="1"/>
  <c r="C11" i="1" l="1"/>
  <c r="B12" i="1"/>
  <c r="C10" i="1" l="1"/>
  <c r="B11" i="1"/>
  <c r="C9" i="1" l="1"/>
  <c r="B10" i="1"/>
  <c r="C8" i="1" l="1"/>
  <c r="B9" i="1"/>
  <c r="C7" i="1" l="1"/>
  <c r="B8" i="1"/>
  <c r="C6" i="1" l="1"/>
  <c r="B7" i="1"/>
  <c r="C5" i="1" l="1"/>
  <c r="B6" i="1"/>
  <c r="C4" i="1" l="1"/>
  <c r="B5" i="1"/>
  <c r="C3" i="1" l="1"/>
  <c r="B4" i="1"/>
  <c r="C2" i="1" l="1"/>
  <c r="B2" i="1" s="1"/>
  <c r="B3" i="1"/>
  <c r="C200" i="5" l="1"/>
  <c r="C199" i="5" s="1"/>
  <c r="B199" i="5" l="1"/>
  <c r="C198" i="5"/>
  <c r="B200" i="5"/>
  <c r="C197" i="5" l="1"/>
  <c r="B198" i="5"/>
  <c r="B197" i="5" l="1"/>
  <c r="C196" i="5"/>
  <c r="B196" i="5" l="1"/>
  <c r="C195" i="5"/>
  <c r="C194" i="5" l="1"/>
  <c r="B195" i="5"/>
  <c r="B194" i="5" l="1"/>
  <c r="C193" i="5"/>
  <c r="C192" i="5" l="1"/>
  <c r="B193" i="5"/>
  <c r="C191" i="5" l="1"/>
  <c r="B192" i="5"/>
  <c r="B191" i="5" l="1"/>
  <c r="C190" i="5"/>
  <c r="B190" i="5" l="1"/>
  <c r="C189" i="5"/>
  <c r="C188" i="5" l="1"/>
  <c r="B189" i="5"/>
  <c r="B188" i="5" l="1"/>
  <c r="C187" i="5"/>
  <c r="C186" i="5" l="1"/>
  <c r="B186" i="5" s="1"/>
  <c r="B187" i="5"/>
  <c r="C185" i="5" l="1"/>
  <c r="C184" i="5" s="1"/>
  <c r="B184" i="5" l="1"/>
  <c r="C183" i="5"/>
  <c r="B185" i="5"/>
  <c r="C182" i="5" l="1"/>
  <c r="B183" i="5"/>
  <c r="B182" i="5" l="1"/>
  <c r="C181" i="5"/>
  <c r="C180" i="5" l="1"/>
  <c r="B181" i="5"/>
  <c r="B180" i="5" l="1"/>
  <c r="C179" i="5"/>
  <c r="C178" i="5" l="1"/>
  <c r="B179" i="5"/>
  <c r="B178" i="5" l="1"/>
  <c r="C177" i="5"/>
  <c r="C176" i="5" l="1"/>
  <c r="B177" i="5"/>
  <c r="B176" i="5" l="1"/>
  <c r="C175" i="5"/>
  <c r="C174" i="5" l="1"/>
  <c r="B175" i="5"/>
  <c r="C173" i="5" l="1"/>
  <c r="B174" i="5"/>
  <c r="C172" i="5" l="1"/>
  <c r="B173" i="5"/>
  <c r="B172" i="5" l="1"/>
  <c r="C171" i="5"/>
  <c r="B171" i="5" l="1"/>
  <c r="C170" i="5"/>
  <c r="B170" i="5" l="1"/>
  <c r="C169" i="5"/>
  <c r="C168" i="5" l="1"/>
  <c r="B169" i="5"/>
  <c r="B168" i="5" l="1"/>
  <c r="C167" i="5"/>
  <c r="B167" i="5" l="1"/>
  <c r="C166" i="5"/>
  <c r="C165" i="5" l="1"/>
  <c r="B166" i="5"/>
  <c r="C164" i="5" l="1"/>
  <c r="B165" i="5"/>
  <c r="C163" i="5" l="1"/>
  <c r="B164" i="5"/>
  <c r="B163" i="5" l="1"/>
  <c r="C162" i="5"/>
  <c r="B162" i="5" l="1"/>
  <c r="C161" i="5"/>
  <c r="B161" i="5" l="1"/>
  <c r="C160" i="5"/>
  <c r="B160" i="5" l="1"/>
  <c r="C159" i="5"/>
  <c r="C158" i="5" l="1"/>
  <c r="B159" i="5"/>
  <c r="C157" i="5" l="1"/>
  <c r="B158" i="5"/>
  <c r="B157" i="5" l="1"/>
  <c r="C156" i="5"/>
  <c r="B156" i="5" l="1"/>
  <c r="C155" i="5"/>
  <c r="C154" i="5" l="1"/>
  <c r="B155" i="5"/>
  <c r="B154" i="5" l="1"/>
  <c r="C153" i="5"/>
  <c r="C152" i="5" l="1"/>
  <c r="B153" i="5"/>
  <c r="B152" i="5" l="1"/>
  <c r="C151" i="5"/>
  <c r="C150" i="5" l="1"/>
  <c r="B151" i="5"/>
  <c r="B150" i="5" l="1"/>
  <c r="C149" i="5"/>
  <c r="C148" i="5" l="1"/>
  <c r="B149" i="5"/>
  <c r="B148" i="5" l="1"/>
  <c r="C147" i="5"/>
  <c r="B147" i="5" l="1"/>
  <c r="C146" i="5"/>
  <c r="C145" i="5" l="1"/>
  <c r="B146" i="5"/>
  <c r="B145" i="5" l="1"/>
  <c r="C144" i="5"/>
  <c r="C143" i="5" l="1"/>
  <c r="B144" i="5"/>
  <c r="C142" i="5" l="1"/>
  <c r="B143" i="5"/>
  <c r="B142" i="5" l="1"/>
  <c r="C141" i="5"/>
  <c r="C140" i="5" l="1"/>
  <c r="B141" i="5"/>
  <c r="B140" i="5" l="1"/>
  <c r="C139" i="5"/>
  <c r="C138" i="5" l="1"/>
  <c r="B139" i="5"/>
  <c r="B138" i="5" l="1"/>
  <c r="C137" i="5"/>
  <c r="C136" i="5" l="1"/>
  <c r="B137" i="5"/>
  <c r="C135" i="5" l="1"/>
  <c r="B136" i="5"/>
  <c r="C134" i="5" l="1"/>
  <c r="B135" i="5"/>
  <c r="C133" i="5" l="1"/>
  <c r="B134" i="5"/>
  <c r="C132" i="5" l="1"/>
  <c r="B133" i="5"/>
  <c r="B132" i="5" l="1"/>
  <c r="C131" i="5"/>
  <c r="B131" i="5" l="1"/>
  <c r="C130" i="5"/>
  <c r="C129" i="5" l="1"/>
  <c r="B130" i="5"/>
  <c r="C128" i="5" l="1"/>
  <c r="B129" i="5"/>
  <c r="B128" i="5" l="1"/>
  <c r="C127" i="5"/>
  <c r="C126" i="5" l="1"/>
  <c r="B127" i="5"/>
  <c r="C125" i="5" l="1"/>
  <c r="B126" i="5"/>
  <c r="B125" i="5" l="1"/>
  <c r="C124" i="5"/>
  <c r="C123" i="5" l="1"/>
  <c r="B124" i="5"/>
  <c r="B123" i="5" l="1"/>
  <c r="C122" i="5"/>
  <c r="C121" i="5" l="1"/>
  <c r="B122" i="5"/>
  <c r="B121" i="5" l="1"/>
  <c r="C120" i="5"/>
  <c r="C119" i="5" l="1"/>
  <c r="B120" i="5"/>
  <c r="B119" i="5" l="1"/>
  <c r="C118" i="5"/>
  <c r="B118" i="5" l="1"/>
  <c r="C117" i="5"/>
  <c r="C116" i="5" l="1"/>
  <c r="B117" i="5"/>
  <c r="B116" i="5" l="1"/>
  <c r="C115" i="5"/>
  <c r="C114" i="5" l="1"/>
  <c r="B115" i="5"/>
  <c r="B114" i="5" l="1"/>
  <c r="C113" i="5"/>
  <c r="C112" i="5" l="1"/>
  <c r="B113" i="5"/>
  <c r="C111" i="5" l="1"/>
  <c r="B112" i="5"/>
  <c r="B111" i="5" l="1"/>
  <c r="C110" i="5"/>
  <c r="B110" i="5" l="1"/>
  <c r="C109" i="5"/>
  <c r="C108" i="5" l="1"/>
  <c r="B109" i="5"/>
  <c r="B108" i="5" l="1"/>
  <c r="C107" i="5"/>
  <c r="B107" i="5" l="1"/>
  <c r="C106" i="5"/>
  <c r="C105" i="5" l="1"/>
  <c r="B106" i="5"/>
  <c r="C104" i="5" l="1"/>
  <c r="B105" i="5"/>
  <c r="B104" i="5" l="1"/>
  <c r="C103" i="5"/>
  <c r="B103" i="5" l="1"/>
  <c r="C102" i="5"/>
  <c r="C101" i="5" l="1"/>
  <c r="B102" i="5"/>
  <c r="B101" i="5" l="1"/>
  <c r="C100" i="5"/>
  <c r="C99" i="5" l="1"/>
  <c r="B100" i="5"/>
  <c r="B99" i="5" l="1"/>
  <c r="C98" i="5"/>
  <c r="C97" i="5" l="1"/>
  <c r="B98" i="5"/>
  <c r="B97" i="5" l="1"/>
  <c r="C96" i="5"/>
  <c r="B96" i="5" l="1"/>
  <c r="C95" i="5"/>
  <c r="B95" i="5" l="1"/>
  <c r="C94" i="5"/>
  <c r="B94" i="5" l="1"/>
  <c r="C93" i="5"/>
  <c r="B93" i="5" l="1"/>
  <c r="C92" i="5"/>
  <c r="B92" i="5" l="1"/>
  <c r="C91" i="5"/>
  <c r="C90" i="5" l="1"/>
  <c r="B91" i="5"/>
  <c r="B90" i="5" l="1"/>
  <c r="C89" i="5"/>
  <c r="B89" i="5" l="1"/>
  <c r="C88" i="5"/>
  <c r="C87" i="5" l="1"/>
  <c r="B88" i="5"/>
  <c r="B87" i="5" l="1"/>
  <c r="C86" i="5"/>
  <c r="C85" i="5" l="1"/>
  <c r="B86" i="5"/>
  <c r="B85" i="5" l="1"/>
  <c r="C84" i="5"/>
  <c r="C83" i="5" l="1"/>
  <c r="B84" i="5"/>
  <c r="C82" i="5" l="1"/>
  <c r="B83" i="5"/>
  <c r="C81" i="5" l="1"/>
  <c r="B82" i="5"/>
  <c r="C80" i="5" l="1"/>
  <c r="B81" i="5"/>
  <c r="B80" i="5" l="1"/>
  <c r="C79" i="5"/>
  <c r="B79" i="5" l="1"/>
  <c r="C78" i="5"/>
  <c r="B78" i="5" l="1"/>
  <c r="C77" i="5"/>
  <c r="B77" i="5" l="1"/>
  <c r="C76" i="5"/>
  <c r="C75" i="5" l="1"/>
  <c r="B76" i="5"/>
  <c r="C74" i="5" l="1"/>
  <c r="B75" i="5"/>
  <c r="B74" i="5" l="1"/>
  <c r="C73" i="5"/>
  <c r="C72" i="5" l="1"/>
  <c r="B73" i="5"/>
  <c r="B72" i="5" l="1"/>
  <c r="C71" i="5"/>
  <c r="C70" i="5" l="1"/>
  <c r="B71" i="5"/>
  <c r="B70" i="5" l="1"/>
  <c r="C69" i="5"/>
  <c r="C68" i="5" l="1"/>
  <c r="B69" i="5"/>
  <c r="B68" i="5" l="1"/>
  <c r="C67" i="5"/>
  <c r="B67" i="5" l="1"/>
  <c r="C66" i="5"/>
  <c r="B66" i="5" l="1"/>
  <c r="C65" i="5"/>
  <c r="C64" i="5" l="1"/>
  <c r="B65" i="5"/>
  <c r="B64" i="5" l="1"/>
  <c r="C63" i="5"/>
  <c r="C62" i="5" l="1"/>
  <c r="B63" i="5"/>
  <c r="B62" i="5" l="1"/>
  <c r="C61" i="5"/>
  <c r="B61" i="5" l="1"/>
  <c r="C60" i="5"/>
  <c r="B60" i="5" l="1"/>
  <c r="C59" i="5"/>
  <c r="C58" i="5" l="1"/>
  <c r="B59" i="5"/>
  <c r="B58" i="5" l="1"/>
  <c r="C57" i="5"/>
  <c r="C56" i="5" l="1"/>
  <c r="B57" i="5"/>
  <c r="B56" i="5" l="1"/>
  <c r="C55" i="5"/>
  <c r="B55" i="5" l="1"/>
  <c r="C54" i="5"/>
  <c r="C53" i="5" l="1"/>
  <c r="B54" i="5"/>
  <c r="B53" i="5" l="1"/>
  <c r="C52" i="5"/>
  <c r="C51" i="5" l="1"/>
  <c r="B52" i="5"/>
  <c r="C50" i="5" l="1"/>
  <c r="B51" i="5"/>
  <c r="B50" i="5" l="1"/>
  <c r="C49" i="5"/>
  <c r="C48" i="5" l="1"/>
  <c r="B49" i="5"/>
  <c r="C47" i="5" l="1"/>
  <c r="B48" i="5"/>
  <c r="C46" i="5" l="1"/>
  <c r="B47" i="5"/>
  <c r="C45" i="5" l="1"/>
  <c r="B46" i="5"/>
  <c r="B45" i="5" l="1"/>
  <c r="C44" i="5"/>
  <c r="C43" i="5" l="1"/>
  <c r="B44" i="5"/>
  <c r="C42" i="5" l="1"/>
  <c r="B43" i="5"/>
  <c r="B42" i="5" l="1"/>
  <c r="C41" i="5"/>
  <c r="C40" i="5" l="1"/>
  <c r="B41" i="5"/>
  <c r="C39" i="5" l="1"/>
  <c r="B40" i="5"/>
  <c r="B39" i="5" l="1"/>
  <c r="C38" i="5"/>
  <c r="C37" i="5" l="1"/>
  <c r="B38" i="5"/>
  <c r="C36" i="5" l="1"/>
  <c r="B37" i="5"/>
  <c r="B36" i="5" l="1"/>
  <c r="C35" i="5"/>
  <c r="C34" i="5" l="1"/>
  <c r="B35" i="5"/>
  <c r="B34" i="5" l="1"/>
  <c r="C33" i="5"/>
  <c r="B33" i="5" l="1"/>
  <c r="C32" i="5"/>
  <c r="C31" i="5" l="1"/>
  <c r="B32" i="5"/>
  <c r="C30" i="5" l="1"/>
  <c r="B31" i="5"/>
  <c r="C29" i="5" l="1"/>
  <c r="B30" i="5"/>
  <c r="C28" i="5" l="1"/>
  <c r="B29" i="5"/>
  <c r="B28" i="5" l="1"/>
  <c r="C27" i="5"/>
  <c r="B27" i="5" l="1"/>
  <c r="C26" i="5"/>
  <c r="B26" i="5" l="1"/>
  <c r="C25" i="5"/>
  <c r="C24" i="5" l="1"/>
  <c r="B25" i="5"/>
  <c r="B24" i="5" l="1"/>
  <c r="C23" i="5"/>
  <c r="C22" i="5" l="1"/>
  <c r="B23" i="5"/>
  <c r="C21" i="5" l="1"/>
  <c r="B22" i="5"/>
  <c r="B21" i="5" l="1"/>
  <c r="C20" i="5"/>
  <c r="B20" i="5" l="1"/>
  <c r="C19" i="5"/>
  <c r="C18" i="5" l="1"/>
  <c r="B19" i="5"/>
  <c r="C17" i="5" l="1"/>
  <c r="B18" i="5"/>
  <c r="C16" i="5" l="1"/>
  <c r="B17" i="5"/>
  <c r="C15" i="5" l="1"/>
  <c r="B16" i="5"/>
  <c r="C14" i="5" l="1"/>
  <c r="B15" i="5"/>
  <c r="C13" i="5" l="1"/>
  <c r="B14" i="5"/>
  <c r="B13" i="5" l="1"/>
  <c r="C12" i="5"/>
  <c r="B12" i="5" l="1"/>
  <c r="C11" i="5"/>
  <c r="C10" i="5" l="1"/>
  <c r="B11" i="5"/>
  <c r="B10" i="5" l="1"/>
  <c r="C9" i="5"/>
  <c r="B9" i="5" l="1"/>
  <c r="C8" i="5"/>
  <c r="C7" i="5" l="1"/>
  <c r="B8" i="5"/>
  <c r="B7" i="5" l="1"/>
  <c r="C6" i="5"/>
  <c r="C5" i="5" l="1"/>
  <c r="B6" i="5"/>
  <c r="C4" i="5" l="1"/>
  <c r="B5" i="5"/>
  <c r="B4" i="5" l="1"/>
  <c r="C3" i="5"/>
  <c r="B3" i="5" l="1"/>
  <c r="C2" i="5"/>
  <c r="B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tc={5211D131-FB9E-4693-A1CF-EF4269878910}</author>
    <author>tc={E7DDABCD-B859-4D67-8C5D-FEA960E2B6B8}</author>
    <author>tc={EE063D38-ED9C-412E-A1CC-C69586306DFF}</author>
    <author>tc={4804A919-E3BE-43FC-B153-438BC62EA784}</author>
    <author>tc={B3B9C23B-CD1A-4BBF-9DB5-3A94A8D9963C}</author>
    <author>tc={BD7258A3-376D-4B18-ACC0-A3FDEAF06861}</author>
    <author>tc={E9169F69-E57D-4035-A36E-E3B8A5093F0D}</author>
  </authors>
  <commentList>
    <comment ref="B1" authorId="0" shapeId="0" xr:uid="{5211D131-FB9E-4693-A1CF-EF4269878910}">
      <text>
        <t>[Threaded comment]
Your version of Excel allows you to read this threaded comment; however, any edits to it will get removed if the file is opened in a newer version of Excel. Learn more: https://go.microsoft.com/fwlink/?linkid=870924
Comment:
    =WEEKDAY(C16,2)</t>
      </text>
    </comment>
    <comment ref="I1" authorId="1" shapeId="0" xr:uid="{E7DDABCD-B859-4D67-8C5D-FEA960E2B6B8}">
      <text>
        <t>[Threaded comment]
Your version of Excel allows you to read this threaded comment; however, any edits to it will get removed if the file is opened in a newer version of Excel. Learn more: https://go.microsoft.com/fwlink/?linkid=870924
Comment:
    02_Google_Sales_Corr</t>
      </text>
    </comment>
    <comment ref="J1" authorId="2" shapeId="0" xr:uid="{EE063D38-ED9C-412E-A1CC-C69586306DFF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=IF(ISBLANK(E16),U$19,E16)</t>
      </text>
    </comment>
    <comment ref="K1" authorId="3" shapeId="0" xr:uid="{4804A919-E3BE-43FC-B153-438BC62EA784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=IF(ISBLANK(F16),U$20,F16)</t>
      </text>
    </comment>
    <comment ref="L1" authorId="4" shapeId="0" xr:uid="{B3B9C23B-CD1A-4BBF-9DB5-3A94A8D9963C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=IF(ISBLANK(G16),U$21,G16)</t>
      </text>
    </comment>
    <comment ref="M1" authorId="5" shapeId="0" xr:uid="{BD7258A3-376D-4B18-ACC0-A3FDEAF06861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=IF(ISBLANK(H16),VLOOKUP(B16,$N$1:$O$9,2,TRUE),H16)</t>
      </text>
    </comment>
    <comment ref="W17" authorId="6" shapeId="0" xr:uid="{E9169F69-E57D-4035-A36E-E3B8A5093F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Coefficient of Variation (Varyasyon Katsayısı)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tc={4EA5FB4B-E00D-4B19-92C2-4DC553944AC2}</author>
  </authors>
  <commentList>
    <comment ref="D1" authorId="0" shapeId="0" xr:uid="{4EA5FB4B-E00D-4B19-92C2-4DC553944AC2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=IF(ISBLANK(B5),AVERAGE(B2:B8),B5)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tc={9E1C0E8D-3D1C-4669-BEF0-34B8CED21544}</author>
    <author>tc={3F3D05C8-1A89-49E5-9894-72D2E1BABD6C}</author>
    <author>tc={617D1593-5D30-41C3-B94B-21998EB4A826}</author>
    <author>tc={9C39AC5D-56C6-4BD9-81A3-FD4482331065}</author>
    <author>tc={8C6666C1-DAD0-4A97-B659-A4CD400A2321}</author>
  </authors>
  <commentList>
    <comment ref="I1" authorId="0" shapeId="0" xr:uid="{9E1C0E8D-3D1C-4669-BEF0-34B8CED21544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=IF(D2&gt;T$4,T$4,D2)</t>
      </text>
    </comment>
    <comment ref="J1" authorId="1" shapeId="0" xr:uid="{3F3D05C8-1A89-49E5-9894-72D2E1BABD6C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=IF(E2&gt;T$5,T$5,E2)</t>
      </text>
    </comment>
    <comment ref="K1" authorId="2" shapeId="0" xr:uid="{617D1593-5D30-41C3-B94B-21998EB4A826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=IF(F2&gt;T$6,T$6,F2)</t>
      </text>
    </comment>
    <comment ref="L1" authorId="3" shapeId="0" xr:uid="{9C39AC5D-56C6-4BD9-81A3-FD4482331065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=IF(G2&gt;T$7,T$7,G2)</t>
      </text>
    </comment>
    <comment ref="M1" authorId="4" shapeId="0" xr:uid="{8C6666C1-DAD0-4A97-B659-A4CD400A2321}">
      <text>
        <t>[Threaded comment]
Your version of Excel allows you to read this threaded comment; however, any edits to it will get removed if the file is opened in a newer version of Excel. Learn more: https://go.microsoft.com/fwlink/?linkid=870924
Comment:
    =IF(H2&gt;T$8,T$8,H2)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tc={14E57C5A-F61F-4957-AC6B-7B51C65D41CE}</author>
    <author>tc={F5BA56C0-137B-4C08-8AFF-80EE56157095}</author>
    <author>tc={FCAB3F85-6BD0-4EB1-8F0F-85F40CC18CF7}</author>
    <author>tc={7DD582DD-0AA5-474C-8D78-ACF8983A121D}</author>
    <author>tc={BDED082B-B914-42AC-977D-58A490F22167}</author>
    <author>tc={D6BC0DDB-65FA-4267-A19F-896A5D7743FF}</author>
    <author>tc={B4A0C634-A794-403E-BF66-00F755274F3A}</author>
  </authors>
  <commentList>
    <comment ref="A9" authorId="0" shapeId="0" xr:uid="{14E57C5A-F61F-4957-AC6B-7B51C65D41CE}">
      <text>
        <t>[Threaded comment]
Your version of Excel allows you to read this threaded comment; however, any edits to it will get removed if the file is opened in a newer version of Excel. Learn more: https://go.microsoft.com/fwlink/?linkid=870924
Comment:
    Farkındalık</t>
      </text>
    </comment>
    <comment ref="A11" authorId="1" shapeId="0" xr:uid="{F5BA56C0-137B-4C08-8AFF-80EE56157095}">
      <text>
        <t>[Threaded comment]
Your version of Excel allows you to read this threaded comment; however, any edits to it will get removed if the file is opened in a newer version of Excel. Learn more: https://go.microsoft.com/fwlink/?linkid=870924
Comment:
    Üye Olma</t>
      </text>
    </comment>
    <comment ref="B25" authorId="2" shapeId="0" xr:uid="{FCAB3F85-6BD0-4EB1-8F0F-85F40CC18CF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
Churn Rate= 1- Retention</t>
      </text>
    </comment>
    <comment ref="B26" authorId="3" shapeId="0" xr:uid="{7DD582DD-0AA5-474C-8D78-ACF8983A12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Formula:
LT = 1 ÷ Churn </t>
      </text>
    </comment>
    <comment ref="B27" authorId="4" shapeId="0" xr:uid="{BDED082B-B914-42AC-977D-58A490F2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Formula:
LT *12</t>
      </text>
    </comment>
    <comment ref="B29" authorId="5" shapeId="0" xr:uid="{D6BC0DDB-65FA-4267-A19F-896A5D7743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Formula:
LTV = Monthly Value × LT (months)  </t>
      </text>
    </comment>
    <comment ref="B34" authorId="6" shapeId="0" xr:uid="{B4A0C634-A794-403E-BF66-00F755274F3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
=IF(B37&gt;3,"✅ Feasible","Unfeasible")</t>
      </text>
    </comment>
  </commentList>
</comments>
</file>

<file path=xl/sharedStrings.xml><?xml version="1.0" encoding="utf-8"?>
<sst xmlns="http://schemas.openxmlformats.org/spreadsheetml/2006/main" count="201" uniqueCount="109">
  <si>
    <t>ID</t>
  </si>
  <si>
    <t>DAYS</t>
  </si>
  <si>
    <t>GoogleAds</t>
  </si>
  <si>
    <t>Meta</t>
  </si>
  <si>
    <t>Influencer</t>
  </si>
  <si>
    <t>SALES</t>
  </si>
  <si>
    <t>Retention</t>
  </si>
  <si>
    <t>1000 $</t>
  </si>
  <si>
    <t>TIKTOK</t>
  </si>
  <si>
    <t>AVERAGE</t>
  </si>
  <si>
    <t>MEDIAN</t>
  </si>
  <si>
    <t>STD_DEV</t>
  </si>
  <si>
    <t>GoogleAds_</t>
  </si>
  <si>
    <t>Meta_</t>
  </si>
  <si>
    <t>Influencer_</t>
  </si>
  <si>
    <t>TIKTOK_</t>
  </si>
  <si>
    <t>SALES_</t>
  </si>
  <si>
    <t>WEEKDAY</t>
  </si>
  <si>
    <t>Grand Total</t>
  </si>
  <si>
    <t>Average of SALES</t>
  </si>
  <si>
    <t>Q1</t>
  </si>
  <si>
    <t>Q3</t>
  </si>
  <si>
    <t>IQR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</si>
  <si>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</si>
  <si>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</si>
  <si>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</si>
  <si>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</si>
  <si>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</si>
  <si>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</si>
  <si>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</si>
  <si>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</si>
  <si>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</si>
  <si>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</si>
  <si>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</si>
  <si>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</si>
  <si>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</si>
  <si>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</si>
  <si>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</si>
  <si>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</si>
  <si>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</si>
  <si>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</si>
  <si>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</si>
  <si>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</si>
  <si>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</si>
  <si>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</si>
  <si>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</si>
  <si>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</si>
  <si>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LTV</t>
  </si>
  <si>
    <t>Missing Count</t>
  </si>
  <si>
    <t>GOOGLE</t>
  </si>
  <si>
    <t>Variable Name</t>
  </si>
  <si>
    <t>Total Observations</t>
  </si>
  <si>
    <t>Missing Rate (%)</t>
  </si>
  <si>
    <t>Data Type</t>
  </si>
  <si>
    <t>Imputation Method</t>
  </si>
  <si>
    <t>Numeric</t>
  </si>
  <si>
    <t>Median</t>
  </si>
  <si>
    <t>Table 1:  Missing Value &amp; Descriptive Statistics Analysis</t>
  </si>
  <si>
    <t>CV (%)</t>
  </si>
  <si>
    <t>GOOGLE_ADS</t>
  </si>
  <si>
    <t>META</t>
  </si>
  <si>
    <t>INFLUENCER</t>
  </si>
  <si>
    <t>CORRELATION (w/ GoogleAds )</t>
  </si>
  <si>
    <t>Correlation</t>
  </si>
  <si>
    <t>Weekday</t>
  </si>
  <si>
    <t>Average by Day (Pivot)</t>
  </si>
  <si>
    <t>Lower Bound</t>
  </si>
  <si>
    <t>Upper Bound</t>
  </si>
  <si>
    <t>Outlier Count</t>
  </si>
  <si>
    <t>Table 1: Outlier Detection via IQR Method</t>
  </si>
  <si>
    <t>Variable</t>
  </si>
  <si>
    <t>Original Value</t>
  </si>
  <si>
    <t>Capped Value</t>
  </si>
  <si>
    <t>Table 2: Capped Observation Examples</t>
  </si>
  <si>
    <t>Table 1:  Cleaned Dataset Variable Overview</t>
  </si>
  <si>
    <t>Investment ($)</t>
  </si>
  <si>
    <t>Expected Return ($)</t>
  </si>
  <si>
    <t>Justification</t>
  </si>
  <si>
    <t>Highest impact</t>
  </si>
  <si>
    <t>Second-best performer</t>
  </si>
  <si>
    <t>Moderate impact</t>
  </si>
  <si>
    <t>Least impact</t>
  </si>
  <si>
    <t>ROI</t>
  </si>
  <si>
    <t>Stage</t>
  </si>
  <si>
    <t>Number of People</t>
  </si>
  <si>
    <t>Conversion Rate</t>
  </si>
  <si>
    <t>Cumulative Conversion</t>
  </si>
  <si>
    <t>Awareness</t>
  </si>
  <si>
    <t>App Downloads</t>
  </si>
  <si>
    <t>Registrations</t>
  </si>
  <si>
    <t>Purchases</t>
  </si>
  <si>
    <t>1. User Conversion Funnel</t>
  </si>
  <si>
    <t>2. Ad Spend and CAC</t>
  </si>
  <si>
    <t>Total Cost (₺)</t>
  </si>
  <si>
    <t>People Reached</t>
  </si>
  <si>
    <t>Cost per Person (₺)</t>
  </si>
  <si>
    <t>3. Customer Lifetime Value (LTV)</t>
  </si>
  <si>
    <t>Metric</t>
  </si>
  <si>
    <t>Value</t>
  </si>
  <si>
    <t>Churn Rate (Annual)</t>
  </si>
  <si>
    <t>Customer Lifetime (Years)</t>
  </si>
  <si>
    <t>Customer Lifetime (Months)</t>
  </si>
  <si>
    <t>Monthly Revenue per User</t>
  </si>
  <si>
    <t>4. LTV / CAC Ratio and Result</t>
  </si>
  <si>
    <t>LTV / CAC</t>
  </si>
  <si>
    <t>Outcome</t>
  </si>
  <si>
    <t>Customer Acquisition Cost (CAC):</t>
  </si>
  <si>
    <t xml:space="preserve">Advertising Spending </t>
  </si>
  <si>
    <t>Table 1: ROI-Based Distribution of $100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</si>
</sst>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_(&quot;₺&quot;* #,##0.00_);_(&quot;₺&quot;* \(#,##0.00\);_(&quot;₺&quot;* &quot;-&quot;??_);_(@_)"/>
    <numFmt numFmtId="165" formatCode="_-* #,##0_-;\-* #,##0_-;_-* &quot;-&quot;??_-;_-@"/>
    <numFmt numFmtId="166" formatCode="0.0%"/>
    <numFmt numFmtId="167" formatCode="_([$$-409]* #,##0.00_);_([$$-409]* \(#,##0.00\);_([$$-409]* &quot;-&quot;??_);_(@_)"/>
    <numFmt numFmtId="168" formatCode="_([$$-409]* #,##0_);_([$$-409]* \(#,##0\);_([$$-409]* &quot;-&quot;??_);_(@_)"/>
  </numFmts>
  <fonts count="15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7" tint="0.59999389629810485"/>
        <bgColor rgb="FFFEF2CB"/>
      </patternFill>
    </fill>
    <fill>
      <patternFill patternType="solid">
        <fgColor theme="7" tint="0.59999389629810485"/>
        <bgColor rgb="FFE2EFD9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E2EF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4" tint="-0.499984740745262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4" tint="-0.499984740745262"/>
      </left>
      <right style="thin">
        <color theme="0" tint="-0.14999847407452621"/>
      </right>
      <top style="medium">
        <color theme="4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4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4" tint="-0.499984740745262"/>
      </right>
      <top style="medium">
        <color theme="4" tint="-0.499984740745262"/>
      </top>
      <bottom style="thin">
        <color theme="0" tint="-0.14999847407452621"/>
      </bottom>
      <diagonal/>
    </border>
    <border>
      <left style="medium">
        <color theme="4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4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4" tint="-0.499984740745262"/>
      </left>
      <right style="thin">
        <color theme="0" tint="-0.14999847407452621"/>
      </right>
      <top style="thin">
        <color theme="0" tint="-0.14999847407452621"/>
      </top>
      <bottom style="medium">
        <color theme="4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4" tint="-0.499984740745262"/>
      </bottom>
      <diagonal/>
    </border>
    <border>
      <left style="thin">
        <color theme="0" tint="-0.14999847407452621"/>
      </left>
      <right style="medium">
        <color theme="4" tint="-0.499984740745262"/>
      </right>
      <top style="thin">
        <color theme="0" tint="-0.14999847407452621"/>
      </top>
      <bottom style="medium">
        <color theme="4" tint="-0.499984740745262"/>
      </bottom>
      <diagonal/>
    </border>
    <border>
      <left style="medium">
        <color theme="9" tint="-0.499984740745262"/>
      </left>
      <right style="thin">
        <color theme="0" tint="-0.14999847407452621"/>
      </right>
      <top style="medium">
        <color theme="9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9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9" tint="-0.499984740745262"/>
      </right>
      <top style="medium">
        <color theme="9" tint="-0.499984740745262"/>
      </top>
      <bottom style="thin">
        <color theme="0" tint="-0.14999847407452621"/>
      </bottom>
      <diagonal/>
    </border>
    <border>
      <left style="medium">
        <color theme="9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9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9" tint="-0.499984740745262"/>
      </left>
      <right style="thin">
        <color theme="0" tint="-0.14999847407452621"/>
      </right>
      <top style="thin">
        <color theme="0" tint="-0.14999847407452621"/>
      </top>
      <bottom style="medium">
        <color theme="9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theme="9" tint="-0.499984740745262"/>
      </bottom>
      <diagonal/>
    </border>
    <border>
      <left style="thin">
        <color theme="0" tint="-0.14999847407452621"/>
      </left>
      <right style="medium">
        <color theme="9" tint="-0.499984740745262"/>
      </right>
      <top style="thin">
        <color theme="0" tint="-0.14999847407452621"/>
      </top>
      <bottom style="medium">
        <color theme="9" tint="-0.499984740745262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medium">
        <color theme="1" tint="0.249977111117893"/>
      </top>
      <bottom style="thin">
        <color theme="0" tint="-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thin">
        <color theme="0" tint="-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 style="thin">
        <color theme="0" tint="-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0" tint="-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1"/>
  </cellStyleXfs>
  <cellXfs count="162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164" fontId="0" fillId="0" borderId="0" xfId="0" applyNumberFormat="1"/>
    <xf numFmtId="0" fontId="6" fillId="0" borderId="1" xfId="3"/>
    <xf numFmtId="0" fontId="2" fillId="0" borderId="4" xfId="3" applyFont="1" applyBorder="1" applyAlignment="1">
      <alignment horizontal="center"/>
    </xf>
    <xf numFmtId="14" fontId="2" fillId="0" borderId="4" xfId="3" applyNumberFormat="1" applyFont="1" applyBorder="1" applyAlignment="1">
      <alignment horizontal="center"/>
    </xf>
    <xf numFmtId="165" fontId="2" fillId="0" borderId="4" xfId="3" applyNumberFormat="1" applyFont="1" applyBorder="1" applyAlignment="1">
      <alignment horizontal="center"/>
    </xf>
    <xf numFmtId="165" fontId="2" fillId="0" borderId="4" xfId="3" applyNumberFormat="1" applyFont="1" applyBorder="1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9" fillId="3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/>
    </xf>
    <xf numFmtId="14" fontId="2" fillId="8" borderId="4" xfId="0" applyNumberFormat="1" applyFont="1" applyFill="1" applyBorder="1" applyAlignment="1">
      <alignment horizontal="center"/>
    </xf>
    <xf numFmtId="165" fontId="2" fillId="8" borderId="4" xfId="0" applyNumberFormat="1" applyFont="1" applyFill="1" applyBorder="1" applyAlignment="1">
      <alignment horizontal="center"/>
    </xf>
    <xf numFmtId="165" fontId="2" fillId="8" borderId="4" xfId="0" applyNumberFormat="1" applyFont="1" applyFill="1" applyBorder="1"/>
    <xf numFmtId="1" fontId="0" fillId="8" borderId="4" xfId="0" applyNumberFormat="1" applyFill="1" applyBorder="1"/>
    <xf numFmtId="0" fontId="3" fillId="5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/>
    </xf>
    <xf numFmtId="165" fontId="2" fillId="8" borderId="6" xfId="0" applyNumberFormat="1" applyFont="1" applyFill="1" applyBorder="1" applyAlignment="1">
      <alignment horizontal="center"/>
    </xf>
    <xf numFmtId="1" fontId="0" fillId="8" borderId="6" xfId="0" applyNumberFormat="1" applyFill="1" applyBorder="1"/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vertical="center" wrapText="1"/>
    </xf>
    <xf numFmtId="10" fontId="0" fillId="9" borderId="4" xfId="0" applyNumberFormat="1" applyFill="1" applyBorder="1" applyAlignment="1">
      <alignment vertical="center" wrapText="1"/>
    </xf>
    <xf numFmtId="2" fontId="0" fillId="9" borderId="4" xfId="0" applyNumberFormat="1" applyFill="1" applyBorder="1"/>
    <xf numFmtId="9" fontId="0" fillId="9" borderId="4" xfId="2" applyFont="1" applyFill="1" applyBorder="1" applyAlignment="1">
      <alignment vertical="center" wrapText="1"/>
    </xf>
    <xf numFmtId="2" fontId="0" fillId="9" borderId="4" xfId="0" applyNumberFormat="1" applyFill="1" applyBorder="1" applyAlignment="1">
      <alignment vertical="center" wrapText="1"/>
    </xf>
    <xf numFmtId="0" fontId="2" fillId="12" borderId="4" xfId="3" applyFont="1" applyFill="1" applyBorder="1" applyAlignment="1">
      <alignment horizontal="center"/>
    </xf>
    <xf numFmtId="0" fontId="3" fillId="13" borderId="4" xfId="3" applyFont="1" applyFill="1" applyBorder="1" applyAlignment="1">
      <alignment horizontal="center"/>
    </xf>
    <xf numFmtId="0" fontId="3" fillId="14" borderId="4" xfId="3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 wrapText="1"/>
    </xf>
    <xf numFmtId="2" fontId="12" fillId="7" borderId="6" xfId="0" applyNumberFormat="1" applyFont="1" applyFill="1" applyBorder="1" applyAlignment="1">
      <alignment vertical="center" wrapText="1"/>
    </xf>
    <xf numFmtId="0" fontId="10" fillId="6" borderId="10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vertical="center" wrapText="1"/>
    </xf>
    <xf numFmtId="1" fontId="12" fillId="7" borderId="11" xfId="0" applyNumberFormat="1" applyFont="1" applyFill="1" applyBorder="1" applyAlignment="1">
      <alignment vertical="center" wrapText="1"/>
    </xf>
    <xf numFmtId="0" fontId="0" fillId="7" borderId="12" xfId="0" applyFill="1" applyBorder="1" applyAlignment="1">
      <alignment vertical="center" wrapText="1"/>
    </xf>
    <xf numFmtId="2" fontId="12" fillId="7" borderId="13" xfId="0" applyNumberFormat="1" applyFont="1" applyFill="1" applyBorder="1" applyAlignment="1">
      <alignment vertical="center" wrapText="1"/>
    </xf>
    <xf numFmtId="1" fontId="12" fillId="7" borderId="14" xfId="0" applyNumberFormat="1" applyFont="1" applyFill="1" applyBorder="1" applyAlignment="1">
      <alignment vertical="center" wrapText="1"/>
    </xf>
    <xf numFmtId="2" fontId="12" fillId="7" borderId="11" xfId="0" applyNumberFormat="1" applyFont="1" applyFill="1" applyBorder="1" applyAlignment="1">
      <alignment vertical="center" wrapText="1"/>
    </xf>
    <xf numFmtId="2" fontId="12" fillId="7" borderId="14" xfId="0" applyNumberFormat="1" applyFont="1" applyFill="1" applyBorder="1" applyAlignment="1">
      <alignment vertical="center" wrapText="1"/>
    </xf>
    <xf numFmtId="0" fontId="8" fillId="10" borderId="6" xfId="0" applyFont="1" applyFill="1" applyBorder="1" applyAlignment="1">
      <alignment horizontal="center" vertical="center" wrapText="1"/>
    </xf>
    <xf numFmtId="14" fontId="2" fillId="8" borderId="6" xfId="0" applyNumberFormat="1" applyFont="1" applyFill="1" applyBorder="1" applyAlignment="1">
      <alignment horizontal="center"/>
    </xf>
    <xf numFmtId="1" fontId="3" fillId="15" borderId="6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2" fontId="12" fillId="16" borderId="6" xfId="0" applyNumberFormat="1" applyFont="1" applyFill="1" applyBorder="1" applyAlignment="1">
      <alignment vertical="center" wrapText="1"/>
    </xf>
    <xf numFmtId="0" fontId="10" fillId="17" borderId="6" xfId="0" applyFont="1" applyFill="1" applyBorder="1" applyAlignment="1">
      <alignment horizontal="center" vertical="center" wrapText="1"/>
    </xf>
    <xf numFmtId="0" fontId="8" fillId="17" borderId="6" xfId="0" applyFont="1" applyFill="1" applyBorder="1" applyAlignment="1">
      <alignment horizontal="center" vertical="center" wrapText="1"/>
    </xf>
    <xf numFmtId="0" fontId="0" fillId="16" borderId="6" xfId="0" applyFill="1" applyBorder="1" applyAlignment="1">
      <alignment vertical="center" wrapText="1"/>
    </xf>
    <xf numFmtId="1" fontId="0" fillId="16" borderId="6" xfId="0" applyNumberFormat="1" applyFill="1" applyBorder="1" applyAlignment="1">
      <alignment vertical="center" wrapText="1"/>
    </xf>
    <xf numFmtId="2" fontId="0" fillId="16" borderId="6" xfId="0" applyNumberFormat="1" applyFill="1" applyBorder="1"/>
    <xf numFmtId="9" fontId="0" fillId="16" borderId="6" xfId="2" applyFont="1" applyFill="1" applyBorder="1" applyAlignment="1">
      <alignment vertical="center" wrapText="1"/>
    </xf>
    <xf numFmtId="2" fontId="0" fillId="16" borderId="6" xfId="0" applyNumberForma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/>
    </xf>
    <xf numFmtId="0" fontId="10" fillId="17" borderId="19" xfId="0" applyFont="1" applyFill="1" applyBorder="1" applyAlignment="1">
      <alignment horizontal="center" vertical="center" wrapText="1"/>
    </xf>
    <xf numFmtId="0" fontId="0" fillId="16" borderId="18" xfId="0" applyFill="1" applyBorder="1" applyAlignment="1">
      <alignment vertical="center" wrapText="1"/>
    </xf>
    <xf numFmtId="1" fontId="12" fillId="16" borderId="19" xfId="0" applyNumberFormat="1" applyFont="1" applyFill="1" applyBorder="1" applyAlignment="1">
      <alignment vertical="center" wrapText="1"/>
    </xf>
    <xf numFmtId="0" fontId="0" fillId="16" borderId="20" xfId="0" applyFill="1" applyBorder="1" applyAlignment="1">
      <alignment vertical="center" wrapText="1"/>
    </xf>
    <xf numFmtId="0" fontId="0" fillId="16" borderId="21" xfId="0" applyFill="1" applyBorder="1" applyAlignment="1">
      <alignment vertical="center" wrapText="1"/>
    </xf>
    <xf numFmtId="1" fontId="0" fillId="16" borderId="21" xfId="0" applyNumberFormat="1" applyFill="1" applyBorder="1" applyAlignment="1">
      <alignment vertical="center" wrapText="1"/>
    </xf>
    <xf numFmtId="2" fontId="0" fillId="16" borderId="21" xfId="0" applyNumberFormat="1" applyFill="1" applyBorder="1"/>
    <xf numFmtId="2" fontId="0" fillId="16" borderId="21" xfId="0" applyNumberFormat="1" applyFill="1" applyBorder="1" applyAlignment="1">
      <alignment vertical="center" wrapText="1"/>
    </xf>
    <xf numFmtId="9" fontId="0" fillId="16" borderId="21" xfId="2" applyFont="1" applyFill="1" applyBorder="1" applyAlignment="1">
      <alignment vertical="center" wrapText="1"/>
    </xf>
    <xf numFmtId="2" fontId="12" fillId="16" borderId="21" xfId="0" applyNumberFormat="1" applyFont="1" applyFill="1" applyBorder="1" applyAlignment="1">
      <alignment vertical="center" wrapText="1"/>
    </xf>
    <xf numFmtId="1" fontId="12" fillId="16" borderId="22" xfId="0" applyNumberFormat="1" applyFont="1" applyFill="1" applyBorder="1" applyAlignment="1">
      <alignment vertical="center" wrapText="1"/>
    </xf>
    <xf numFmtId="9" fontId="12" fillId="0" borderId="0" xfId="0" applyNumberFormat="1" applyFont="1" applyAlignment="1">
      <alignment vertical="center" wrapText="1"/>
    </xf>
    <xf numFmtId="6" fontId="12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10" fillId="17" borderId="18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 wrapText="1"/>
    </xf>
    <xf numFmtId="0" fontId="0" fillId="20" borderId="4" xfId="0" applyFill="1" applyBorder="1"/>
    <xf numFmtId="2" fontId="0" fillId="20" borderId="4" xfId="0" applyNumberFormat="1" applyFill="1" applyBorder="1"/>
    <xf numFmtId="0" fontId="10" fillId="20" borderId="4" xfId="0" applyFont="1" applyFill="1" applyBorder="1" applyAlignment="1">
      <alignment horizontal="center" vertical="center" wrapText="1"/>
    </xf>
    <xf numFmtId="0" fontId="12" fillId="20" borderId="4" xfId="0" applyFont="1" applyFill="1" applyBorder="1" applyAlignment="1">
      <alignment vertical="center" wrapText="1"/>
    </xf>
    <xf numFmtId="0" fontId="10" fillId="20" borderId="4" xfId="0" applyFont="1" applyFill="1" applyBorder="1"/>
    <xf numFmtId="167" fontId="12" fillId="20" borderId="4" xfId="1" applyNumberFormat="1" applyFont="1" applyFill="1" applyBorder="1" applyAlignment="1">
      <alignment vertical="center" wrapText="1"/>
    </xf>
    <xf numFmtId="167" fontId="10" fillId="20" borderId="4" xfId="1" applyNumberFormat="1" applyFont="1" applyFill="1" applyBorder="1"/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9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12" fillId="22" borderId="4" xfId="0" applyFont="1" applyFill="1" applyBorder="1" applyAlignment="1">
      <alignment vertical="center" wrapText="1"/>
    </xf>
    <xf numFmtId="9" fontId="12" fillId="22" borderId="4" xfId="0" applyNumberFormat="1" applyFont="1" applyFill="1" applyBorder="1" applyAlignment="1">
      <alignment vertical="center" wrapText="1"/>
    </xf>
    <xf numFmtId="0" fontId="14" fillId="23" borderId="4" xfId="0" applyFont="1" applyFill="1" applyBorder="1" applyAlignment="1">
      <alignment horizontal="center" vertical="center" wrapText="1"/>
    </xf>
    <xf numFmtId="168" fontId="12" fillId="22" borderId="4" xfId="1" applyNumberFormat="1" applyFont="1" applyFill="1" applyBorder="1" applyAlignment="1">
      <alignment vertical="center" wrapText="1"/>
    </xf>
    <xf numFmtId="0" fontId="14" fillId="23" borderId="32" xfId="0" applyFont="1" applyFill="1" applyBorder="1" applyAlignment="1">
      <alignment horizontal="center" vertical="center" wrapText="1"/>
    </xf>
    <xf numFmtId="0" fontId="14" fillId="23" borderId="33" xfId="0" applyFont="1" applyFill="1" applyBorder="1" applyAlignment="1">
      <alignment horizontal="center" vertical="center" wrapText="1"/>
    </xf>
    <xf numFmtId="0" fontId="12" fillId="22" borderId="32" xfId="0" applyFont="1" applyFill="1" applyBorder="1" applyAlignment="1">
      <alignment vertical="center" wrapText="1"/>
    </xf>
    <xf numFmtId="9" fontId="12" fillId="22" borderId="33" xfId="0" applyNumberFormat="1" applyFont="1" applyFill="1" applyBorder="1" applyAlignment="1">
      <alignment vertical="center" wrapText="1"/>
    </xf>
    <xf numFmtId="0" fontId="12" fillId="22" borderId="34" xfId="0" applyFont="1" applyFill="1" applyBorder="1" applyAlignment="1">
      <alignment vertical="center" wrapText="1"/>
    </xf>
    <xf numFmtId="0" fontId="12" fillId="22" borderId="35" xfId="0" applyFont="1" applyFill="1" applyBorder="1" applyAlignment="1">
      <alignment vertical="center" wrapText="1"/>
    </xf>
    <xf numFmtId="166" fontId="12" fillId="22" borderId="35" xfId="0" applyNumberFormat="1" applyFont="1" applyFill="1" applyBorder="1" applyAlignment="1">
      <alignment vertical="center" wrapText="1"/>
    </xf>
    <xf numFmtId="166" fontId="12" fillId="22" borderId="36" xfId="0" applyNumberFormat="1" applyFont="1" applyFill="1" applyBorder="1" applyAlignment="1">
      <alignment vertical="center" wrapText="1"/>
    </xf>
    <xf numFmtId="167" fontId="12" fillId="22" borderId="33" xfId="1" applyNumberFormat="1" applyFont="1" applyFill="1" applyBorder="1" applyAlignment="1">
      <alignment vertical="center" wrapText="1"/>
    </xf>
    <xf numFmtId="168" fontId="12" fillId="22" borderId="35" xfId="1" applyNumberFormat="1" applyFont="1" applyFill="1" applyBorder="1" applyAlignment="1">
      <alignment vertical="center" wrapText="1"/>
    </xf>
    <xf numFmtId="167" fontId="12" fillId="22" borderId="36" xfId="1" applyNumberFormat="1" applyFont="1" applyFill="1" applyBorder="1" applyAlignment="1">
      <alignment vertical="center" wrapText="1"/>
    </xf>
    <xf numFmtId="2" fontId="12" fillId="22" borderId="33" xfId="0" applyNumberFormat="1" applyFont="1" applyFill="1" applyBorder="1" applyAlignment="1">
      <alignment vertical="center" wrapText="1"/>
    </xf>
    <xf numFmtId="0" fontId="10" fillId="22" borderId="34" xfId="0" applyFont="1" applyFill="1" applyBorder="1" applyAlignment="1">
      <alignment vertical="center" wrapText="1"/>
    </xf>
    <xf numFmtId="167" fontId="10" fillId="22" borderId="36" xfId="0" applyNumberFormat="1" applyFont="1" applyFill="1" applyBorder="1" applyAlignment="1">
      <alignment vertical="center" wrapText="1"/>
    </xf>
    <xf numFmtId="2" fontId="10" fillId="22" borderId="33" xfId="0" applyNumberFormat="1" applyFont="1" applyFill="1" applyBorder="1" applyAlignment="1">
      <alignment vertical="center" wrapText="1"/>
    </xf>
    <xf numFmtId="0" fontId="10" fillId="22" borderId="37" xfId="0" applyFont="1" applyFill="1" applyBorder="1" applyAlignment="1">
      <alignment horizontal="left" vertical="center" indent="1"/>
    </xf>
    <xf numFmtId="167" fontId="0" fillId="22" borderId="38" xfId="1" applyNumberFormat="1" applyFont="1" applyFill="1" applyBorder="1"/>
    <xf numFmtId="0" fontId="9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2" fillId="24" borderId="34" xfId="0" applyFont="1" applyFill="1" applyBorder="1" applyAlignment="1">
      <alignment vertical="center" wrapText="1"/>
    </xf>
    <xf numFmtId="0" fontId="10" fillId="24" borderId="36" xfId="0" applyFont="1" applyFill="1" applyBorder="1" applyAlignment="1">
      <alignment vertical="center" wrapText="1"/>
    </xf>
    <xf numFmtId="0" fontId="11" fillId="6" borderId="7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17" borderId="15" xfId="0" applyFont="1" applyFill="1" applyBorder="1" applyAlignment="1">
      <alignment horizontal="center"/>
    </xf>
    <xf numFmtId="0" fontId="11" fillId="17" borderId="16" xfId="0" applyFont="1" applyFill="1" applyBorder="1" applyAlignment="1">
      <alignment horizontal="center"/>
    </xf>
    <xf numFmtId="0" fontId="11" fillId="17" borderId="17" xfId="0" applyFont="1" applyFill="1" applyBorder="1" applyAlignment="1">
      <alignment horizontal="center"/>
    </xf>
    <xf numFmtId="0" fontId="11" fillId="19" borderId="4" xfId="0" applyFont="1" applyFill="1" applyBorder="1" applyAlignment="1">
      <alignment horizontal="center" vertical="center"/>
    </xf>
    <xf numFmtId="0" fontId="13" fillId="23" borderId="29" xfId="0" applyFont="1" applyFill="1" applyBorder="1" applyAlignment="1">
      <alignment horizontal="center" vertical="center"/>
    </xf>
    <xf numFmtId="0" fontId="13" fillId="23" borderId="31" xfId="0" applyFont="1" applyFill="1" applyBorder="1" applyAlignment="1">
      <alignment horizontal="center" vertical="center"/>
    </xf>
    <xf numFmtId="0" fontId="5" fillId="21" borderId="23" xfId="0" applyFont="1" applyFill="1" applyBorder="1" applyAlignment="1">
      <alignment horizontal="center" vertical="center" wrapText="1"/>
    </xf>
    <xf numFmtId="0" fontId="5" fillId="21" borderId="24" xfId="0" applyFont="1" applyFill="1" applyBorder="1" applyAlignment="1">
      <alignment horizontal="center" vertical="center" wrapText="1"/>
    </xf>
    <xf numFmtId="0" fontId="5" fillId="21" borderId="25" xfId="0" applyFont="1" applyFill="1" applyBorder="1" applyAlignment="1">
      <alignment horizontal="center" vertical="center" wrapText="1"/>
    </xf>
    <xf numFmtId="0" fontId="5" fillId="21" borderId="26" xfId="0" applyFont="1" applyFill="1" applyBorder="1" applyAlignment="1">
      <alignment horizontal="center" vertical="center" wrapText="1"/>
    </xf>
    <xf numFmtId="167" fontId="10" fillId="21" borderId="25" xfId="1" applyNumberFormat="1" applyFont="1" applyFill="1" applyBorder="1" applyAlignment="1">
      <alignment horizontal="center" vertical="center"/>
    </xf>
    <xf numFmtId="167" fontId="10" fillId="21" borderId="26" xfId="1" applyNumberFormat="1" applyFont="1" applyFill="1" applyBorder="1" applyAlignment="1">
      <alignment horizontal="center" vertical="center"/>
    </xf>
    <xf numFmtId="167" fontId="10" fillId="21" borderId="27" xfId="1" applyNumberFormat="1" applyFont="1" applyFill="1" applyBorder="1" applyAlignment="1">
      <alignment horizontal="center" vertical="center"/>
    </xf>
    <xf numFmtId="167" fontId="10" fillId="21" borderId="28" xfId="1" applyNumberFormat="1" applyFont="1" applyFill="1" applyBorder="1" applyAlignment="1">
      <alignment horizontal="center" vertical="center"/>
    </xf>
    <xf numFmtId="9" fontId="10" fillId="21" borderId="25" xfId="2" applyFont="1" applyFill="1" applyBorder="1" applyAlignment="1">
      <alignment horizontal="center" vertical="center"/>
    </xf>
    <xf numFmtId="9" fontId="10" fillId="21" borderId="26" xfId="2" applyFont="1" applyFill="1" applyBorder="1" applyAlignment="1">
      <alignment horizontal="center" vertical="center"/>
    </xf>
    <xf numFmtId="9" fontId="10" fillId="21" borderId="27" xfId="2" applyFont="1" applyFill="1" applyBorder="1" applyAlignment="1">
      <alignment horizontal="center" vertical="center"/>
    </xf>
    <xf numFmtId="9" fontId="10" fillId="21" borderId="28" xfId="2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14" fillId="23" borderId="30" xfId="0" applyFont="1" applyFill="1" applyBorder="1" applyAlignment="1">
      <alignment horizontal="center" vertical="center"/>
    </xf>
    <xf numFmtId="0" fontId="14" fillId="23" borderId="31" xfId="0" applyFont="1" applyFill="1" applyBorder="1" applyAlignment="1">
      <alignment horizontal="center" vertical="center"/>
    </xf>
    <xf numFmtId="0" fontId="13" fillId="23" borderId="30" xfId="0" applyFont="1" applyFill="1" applyBorder="1" applyAlignment="1">
      <alignment horizontal="center" vertical="center"/>
    </xf>
    <xf numFmtId="0" fontId="11" fillId="11" borderId="39" xfId="0" applyFont="1" applyFill="1" applyBorder="1" applyAlignment="1">
      <alignment horizontal="center"/>
    </xf>
    <xf numFmtId="0" fontId="11" fillId="11" borderId="40" xfId="0" applyFont="1" applyFill="1" applyBorder="1" applyAlignment="1">
      <alignment horizontal="center"/>
    </xf>
    <xf numFmtId="0" fontId="11" fillId="11" borderId="41" xfId="0" applyFont="1" applyFill="1" applyBorder="1" applyAlignment="1">
      <alignment horizontal="center"/>
    </xf>
    <xf numFmtId="0" fontId="8" fillId="11" borderId="42" xfId="0" applyFont="1" applyFill="1" applyBorder="1" applyAlignment="1">
      <alignment horizontal="center" vertical="center" wrapText="1"/>
    </xf>
    <xf numFmtId="0" fontId="8" fillId="11" borderId="43" xfId="0" applyFont="1" applyFill="1" applyBorder="1" applyAlignment="1">
      <alignment horizontal="center" vertical="center" wrapText="1"/>
    </xf>
    <xf numFmtId="0" fontId="0" fillId="9" borderId="42" xfId="0" applyFill="1" applyBorder="1" applyAlignment="1">
      <alignment vertical="center" wrapText="1"/>
    </xf>
    <xf numFmtId="0" fontId="0" fillId="9" borderId="43" xfId="0" applyFill="1" applyBorder="1" applyAlignment="1">
      <alignment vertical="center" wrapText="1"/>
    </xf>
    <xf numFmtId="0" fontId="0" fillId="9" borderId="44" xfId="0" applyFill="1" applyBorder="1" applyAlignment="1">
      <alignment vertical="center" wrapText="1"/>
    </xf>
    <xf numFmtId="0" fontId="0" fillId="9" borderId="45" xfId="0" applyFill="1" applyBorder="1" applyAlignment="1">
      <alignment vertical="center" wrapText="1"/>
    </xf>
    <xf numFmtId="10" fontId="0" fillId="9" borderId="45" xfId="0" applyNumberFormat="1" applyFill="1" applyBorder="1" applyAlignment="1">
      <alignment vertical="center" wrapText="1"/>
    </xf>
    <xf numFmtId="2" fontId="0" fillId="9" borderId="45" xfId="0" applyNumberFormat="1" applyFill="1" applyBorder="1" applyAlignment="1">
      <alignment vertical="center" wrapText="1"/>
    </xf>
    <xf numFmtId="9" fontId="0" fillId="9" borderId="45" xfId="2" applyFont="1" applyFill="1" applyBorder="1" applyAlignment="1">
      <alignment vertical="center" wrapText="1"/>
    </xf>
    <xf numFmtId="0" fontId="0" fillId="9" borderId="46" xfId="0" applyFill="1" applyBorder="1" applyAlignment="1">
      <alignment vertical="center" wrapText="1"/>
    </xf>
  </cellXfs>
  <cellStyles count="4">
    <cellStyle name="Currency" xfId="1" builtinId="4"/>
    <cellStyle name="Normal" xfId="0" builtinId="0"/>
    <cellStyle name="Normal 2" xfId="3" xr:uid="{BC433CD5-6241-417B-BF27-A0DB5DCF7E49}"/>
    <cellStyle name="Percent" xfId="2" builtinId="5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Google ve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'05_Regression_Plots'!$H$1</c:f>
              <c:strCache>
                <c:ptCount val="1"/>
                <c:pt idx="0">
                  <c:v>SALES_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8190451753612266"/>
                  <c:y val="-0.1692557095521431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rgbClr val="FF0000"/>
                        </a:solidFill>
                      </a:rPr>
                      <a:t>y = 1.6498x + 90.471</a:t>
                    </a:r>
                    <a:endParaRPr lang="en-US" sz="1200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'05_Regression_Plots'!$D$2:$D$1015</c:f>
              <c:numCache>
                <c:formatCode>0</c:formatCode>
                <c:ptCount val="1014"/>
                <c:pt idx="0">
                  <c:v>56.02</c:v>
                </c:pt>
                <c:pt idx="1">
                  <c:v>10.9</c:v>
                </c:pt>
                <c:pt idx="2">
                  <c:v>12.44</c:v>
                </c:pt>
                <c:pt idx="3">
                  <c:v>31.3</c:v>
                </c:pt>
                <c:pt idx="4">
                  <c:v>46.160000000000004</c:v>
                </c:pt>
                <c:pt idx="5">
                  <c:v>6.74</c:v>
                </c:pt>
                <c:pt idx="6">
                  <c:v>13.5</c:v>
                </c:pt>
                <c:pt idx="7">
                  <c:v>31.04</c:v>
                </c:pt>
                <c:pt idx="8">
                  <c:v>9.7200000000000006</c:v>
                </c:pt>
                <c:pt idx="9">
                  <c:v>40.96</c:v>
                </c:pt>
                <c:pt idx="10">
                  <c:v>23.22</c:v>
                </c:pt>
                <c:pt idx="11">
                  <c:v>50.94</c:v>
                </c:pt>
                <c:pt idx="12">
                  <c:v>10.76</c:v>
                </c:pt>
                <c:pt idx="13">
                  <c:v>26.5</c:v>
                </c:pt>
                <c:pt idx="14">
                  <c:v>44.82</c:v>
                </c:pt>
                <c:pt idx="15">
                  <c:v>42.08</c:v>
                </c:pt>
                <c:pt idx="16">
                  <c:v>89.06</c:v>
                </c:pt>
                <c:pt idx="17">
                  <c:v>62.279999999999994</c:v>
                </c:pt>
                <c:pt idx="18">
                  <c:v>14.84</c:v>
                </c:pt>
                <c:pt idx="19">
                  <c:v>32.46</c:v>
                </c:pt>
                <c:pt idx="20">
                  <c:v>46.68</c:v>
                </c:pt>
                <c:pt idx="21">
                  <c:v>48.480000000000004</c:v>
                </c:pt>
                <c:pt idx="22">
                  <c:v>11.64</c:v>
                </c:pt>
                <c:pt idx="23">
                  <c:v>49.660000000000004</c:v>
                </c:pt>
                <c:pt idx="24">
                  <c:v>20.46</c:v>
                </c:pt>
                <c:pt idx="25">
                  <c:v>59.58</c:v>
                </c:pt>
                <c:pt idx="26">
                  <c:v>38.58</c:v>
                </c:pt>
                <c:pt idx="27">
                  <c:v>49.019999999999996</c:v>
                </c:pt>
                <c:pt idx="28">
                  <c:v>52.760000000000005</c:v>
                </c:pt>
                <c:pt idx="29">
                  <c:v>15.12</c:v>
                </c:pt>
                <c:pt idx="30">
                  <c:v>59.58</c:v>
                </c:pt>
                <c:pt idx="31">
                  <c:v>92.987500000000011</c:v>
                </c:pt>
                <c:pt idx="32">
                  <c:v>20.440000000000001</c:v>
                </c:pt>
                <c:pt idx="33">
                  <c:v>61.120000000000005</c:v>
                </c:pt>
                <c:pt idx="34">
                  <c:v>24.14</c:v>
                </c:pt>
                <c:pt idx="35">
                  <c:v>62.14</c:v>
                </c:pt>
                <c:pt idx="36">
                  <c:v>56.379999999999995</c:v>
                </c:pt>
                <c:pt idx="37">
                  <c:v>24.94</c:v>
                </c:pt>
                <c:pt idx="38">
                  <c:v>14.620000000000001</c:v>
                </c:pt>
                <c:pt idx="39">
                  <c:v>53.6</c:v>
                </c:pt>
                <c:pt idx="40">
                  <c:v>45.5</c:v>
                </c:pt>
                <c:pt idx="41">
                  <c:v>40.4</c:v>
                </c:pt>
                <c:pt idx="42">
                  <c:v>67.72</c:v>
                </c:pt>
                <c:pt idx="43">
                  <c:v>51.38</c:v>
                </c:pt>
                <c:pt idx="44">
                  <c:v>12.02</c:v>
                </c:pt>
                <c:pt idx="45">
                  <c:v>42.019999999999996</c:v>
                </c:pt>
                <c:pt idx="46">
                  <c:v>18.940000000000001</c:v>
                </c:pt>
                <c:pt idx="47">
                  <c:v>52.980000000000004</c:v>
                </c:pt>
                <c:pt idx="48">
                  <c:v>46.44</c:v>
                </c:pt>
                <c:pt idx="49">
                  <c:v>14.38</c:v>
                </c:pt>
                <c:pt idx="50">
                  <c:v>43.96</c:v>
                </c:pt>
                <c:pt idx="51">
                  <c:v>29.080000000000002</c:v>
                </c:pt>
                <c:pt idx="52">
                  <c:v>44.28</c:v>
                </c:pt>
                <c:pt idx="53">
                  <c:v>41.519999999999996</c:v>
                </c:pt>
                <c:pt idx="54">
                  <c:v>62.54</c:v>
                </c:pt>
                <c:pt idx="55">
                  <c:v>40.78</c:v>
                </c:pt>
                <c:pt idx="56">
                  <c:v>3.46</c:v>
                </c:pt>
                <c:pt idx="57">
                  <c:v>33.239999999999995</c:v>
                </c:pt>
                <c:pt idx="58">
                  <c:v>49.160000000000004</c:v>
                </c:pt>
                <c:pt idx="59">
                  <c:v>50.14</c:v>
                </c:pt>
                <c:pt idx="60">
                  <c:v>16.7</c:v>
                </c:pt>
                <c:pt idx="61">
                  <c:v>61.260000000000005</c:v>
                </c:pt>
                <c:pt idx="62">
                  <c:v>53.86</c:v>
                </c:pt>
                <c:pt idx="63">
                  <c:v>27.54</c:v>
                </c:pt>
                <c:pt idx="64">
                  <c:v>27.22</c:v>
                </c:pt>
                <c:pt idx="65">
                  <c:v>21.8</c:v>
                </c:pt>
                <c:pt idx="66">
                  <c:v>15.3</c:v>
                </c:pt>
                <c:pt idx="67">
                  <c:v>30.860000000000003</c:v>
                </c:pt>
                <c:pt idx="68">
                  <c:v>51.480000000000004</c:v>
                </c:pt>
                <c:pt idx="69">
                  <c:v>48.36</c:v>
                </c:pt>
                <c:pt idx="70">
                  <c:v>44.82</c:v>
                </c:pt>
                <c:pt idx="71">
                  <c:v>29.96</c:v>
                </c:pt>
                <c:pt idx="72">
                  <c:v>15.36</c:v>
                </c:pt>
                <c:pt idx="73">
                  <c:v>28.880000000000003</c:v>
                </c:pt>
                <c:pt idx="74">
                  <c:v>50.68</c:v>
                </c:pt>
                <c:pt idx="75">
                  <c:v>12.379999999999999</c:v>
                </c:pt>
                <c:pt idx="76">
                  <c:v>13.5</c:v>
                </c:pt>
                <c:pt idx="77">
                  <c:v>25.1</c:v>
                </c:pt>
                <c:pt idx="78">
                  <c:v>8.08</c:v>
                </c:pt>
                <c:pt idx="79">
                  <c:v>31.2</c:v>
                </c:pt>
                <c:pt idx="80">
                  <c:v>19.28</c:v>
                </c:pt>
                <c:pt idx="81">
                  <c:v>96.179999999999993</c:v>
                </c:pt>
                <c:pt idx="82">
                  <c:v>18.059999999999999</c:v>
                </c:pt>
                <c:pt idx="83">
                  <c:v>22.68</c:v>
                </c:pt>
                <c:pt idx="84">
                  <c:v>45.7</c:v>
                </c:pt>
                <c:pt idx="85">
                  <c:v>42.64</c:v>
                </c:pt>
                <c:pt idx="86">
                  <c:v>21.259999999999998</c:v>
                </c:pt>
                <c:pt idx="87">
                  <c:v>28.14</c:v>
                </c:pt>
                <c:pt idx="88">
                  <c:v>27.66</c:v>
                </c:pt>
                <c:pt idx="89">
                  <c:v>23.96</c:v>
                </c:pt>
                <c:pt idx="90">
                  <c:v>31.860000000000003</c:v>
                </c:pt>
                <c:pt idx="91">
                  <c:v>14.72</c:v>
                </c:pt>
                <c:pt idx="92">
                  <c:v>47.54</c:v>
                </c:pt>
                <c:pt idx="93">
                  <c:v>56.18</c:v>
                </c:pt>
                <c:pt idx="94">
                  <c:v>30.48</c:v>
                </c:pt>
                <c:pt idx="95">
                  <c:v>40.660000000000004</c:v>
                </c:pt>
                <c:pt idx="96">
                  <c:v>46.519999999999996</c:v>
                </c:pt>
                <c:pt idx="97">
                  <c:v>41.980000000000004</c:v>
                </c:pt>
                <c:pt idx="98">
                  <c:v>64.94</c:v>
                </c:pt>
                <c:pt idx="99">
                  <c:v>28.04</c:v>
                </c:pt>
                <c:pt idx="100">
                  <c:v>51.480000000000004</c:v>
                </c:pt>
                <c:pt idx="101">
                  <c:v>63.279999999999994</c:v>
                </c:pt>
                <c:pt idx="102">
                  <c:v>64.039999999999992</c:v>
                </c:pt>
                <c:pt idx="103">
                  <c:v>38.58</c:v>
                </c:pt>
                <c:pt idx="104">
                  <c:v>54.64</c:v>
                </c:pt>
                <c:pt idx="105">
                  <c:v>37.58</c:v>
                </c:pt>
                <c:pt idx="106">
                  <c:v>8</c:v>
                </c:pt>
                <c:pt idx="107">
                  <c:v>27.080000000000002</c:v>
                </c:pt>
                <c:pt idx="108">
                  <c:v>9.620000000000001</c:v>
                </c:pt>
                <c:pt idx="109">
                  <c:v>53.08</c:v>
                </c:pt>
                <c:pt idx="110">
                  <c:v>54.160000000000004</c:v>
                </c:pt>
                <c:pt idx="111">
                  <c:v>55.339999999999996</c:v>
                </c:pt>
                <c:pt idx="112">
                  <c:v>39.14</c:v>
                </c:pt>
                <c:pt idx="113">
                  <c:v>44.92</c:v>
                </c:pt>
                <c:pt idx="114">
                  <c:v>18.64</c:v>
                </c:pt>
                <c:pt idx="115">
                  <c:v>24.02</c:v>
                </c:pt>
                <c:pt idx="116">
                  <c:v>37.839999999999996</c:v>
                </c:pt>
                <c:pt idx="117">
                  <c:v>25.28</c:v>
                </c:pt>
                <c:pt idx="118">
                  <c:v>29.14</c:v>
                </c:pt>
                <c:pt idx="119">
                  <c:v>9.879999999999999</c:v>
                </c:pt>
                <c:pt idx="120">
                  <c:v>36.260000000000005</c:v>
                </c:pt>
                <c:pt idx="121">
                  <c:v>7.76</c:v>
                </c:pt>
                <c:pt idx="122">
                  <c:v>45.8</c:v>
                </c:pt>
                <c:pt idx="123">
                  <c:v>33.619999999999997</c:v>
                </c:pt>
                <c:pt idx="124">
                  <c:v>51.9</c:v>
                </c:pt>
                <c:pt idx="125">
                  <c:v>18.440000000000001</c:v>
                </c:pt>
                <c:pt idx="126">
                  <c:v>8.56</c:v>
                </c:pt>
                <c:pt idx="127">
                  <c:v>71.06</c:v>
                </c:pt>
                <c:pt idx="128">
                  <c:v>54.06</c:v>
                </c:pt>
                <c:pt idx="129">
                  <c:v>18.920000000000002</c:v>
                </c:pt>
                <c:pt idx="130">
                  <c:v>6</c:v>
                </c:pt>
                <c:pt idx="131">
                  <c:v>55.04</c:v>
                </c:pt>
                <c:pt idx="132">
                  <c:v>5.68</c:v>
                </c:pt>
                <c:pt idx="133">
                  <c:v>45.96</c:v>
                </c:pt>
                <c:pt idx="134">
                  <c:v>14.379999999999999</c:v>
                </c:pt>
                <c:pt idx="135">
                  <c:v>14.66</c:v>
                </c:pt>
                <c:pt idx="136">
                  <c:v>10.120000000000001</c:v>
                </c:pt>
                <c:pt idx="137">
                  <c:v>58.739999999999995</c:v>
                </c:pt>
                <c:pt idx="138">
                  <c:v>9.6</c:v>
                </c:pt>
                <c:pt idx="139">
                  <c:v>96.179999999999993</c:v>
                </c:pt>
                <c:pt idx="140">
                  <c:v>20.910000000000004</c:v>
                </c:pt>
                <c:pt idx="141">
                  <c:v>49.443333333333328</c:v>
                </c:pt>
                <c:pt idx="142">
                  <c:v>50.1</c:v>
                </c:pt>
                <c:pt idx="143">
                  <c:v>28.919999999999998</c:v>
                </c:pt>
                <c:pt idx="144">
                  <c:v>29.240000000000002</c:v>
                </c:pt>
                <c:pt idx="145">
                  <c:v>31.060000000000002</c:v>
                </c:pt>
                <c:pt idx="146">
                  <c:v>55.019999999999996</c:v>
                </c:pt>
                <c:pt idx="147">
                  <c:v>50.64</c:v>
                </c:pt>
                <c:pt idx="148">
                  <c:v>15.6</c:v>
                </c:pt>
                <c:pt idx="149">
                  <c:v>96.179999999999993</c:v>
                </c:pt>
                <c:pt idx="150">
                  <c:v>66.14</c:v>
                </c:pt>
                <c:pt idx="151">
                  <c:v>31.2</c:v>
                </c:pt>
                <c:pt idx="152">
                  <c:v>40.519999999999996</c:v>
                </c:pt>
                <c:pt idx="153">
                  <c:v>37.260000000000005</c:v>
                </c:pt>
                <c:pt idx="154">
                  <c:v>43.56</c:v>
                </c:pt>
                <c:pt idx="155">
                  <c:v>9.82</c:v>
                </c:pt>
                <c:pt idx="156">
                  <c:v>25.78</c:v>
                </c:pt>
                <c:pt idx="157">
                  <c:v>39.96</c:v>
                </c:pt>
                <c:pt idx="158">
                  <c:v>12.34</c:v>
                </c:pt>
                <c:pt idx="159">
                  <c:v>32.339999999999996</c:v>
                </c:pt>
                <c:pt idx="160">
                  <c:v>44.5</c:v>
                </c:pt>
                <c:pt idx="161">
                  <c:v>19.14</c:v>
                </c:pt>
                <c:pt idx="162">
                  <c:v>42.68</c:v>
                </c:pt>
                <c:pt idx="163">
                  <c:v>33.700000000000003</c:v>
                </c:pt>
                <c:pt idx="164">
                  <c:v>28.44</c:v>
                </c:pt>
                <c:pt idx="165">
                  <c:v>56.9</c:v>
                </c:pt>
                <c:pt idx="166">
                  <c:v>11.58</c:v>
                </c:pt>
                <c:pt idx="167">
                  <c:v>48.36</c:v>
                </c:pt>
                <c:pt idx="168">
                  <c:v>45.08</c:v>
                </c:pt>
                <c:pt idx="169">
                  <c:v>60.86</c:v>
                </c:pt>
                <c:pt idx="170">
                  <c:v>12</c:v>
                </c:pt>
                <c:pt idx="171">
                  <c:v>42.9</c:v>
                </c:pt>
                <c:pt idx="172">
                  <c:v>9.92</c:v>
                </c:pt>
                <c:pt idx="173">
                  <c:v>36.68</c:v>
                </c:pt>
                <c:pt idx="174">
                  <c:v>53.480000000000004</c:v>
                </c:pt>
                <c:pt idx="175">
                  <c:v>64.38</c:v>
                </c:pt>
                <c:pt idx="176">
                  <c:v>58.68</c:v>
                </c:pt>
                <c:pt idx="177">
                  <c:v>40.04</c:v>
                </c:pt>
                <c:pt idx="178">
                  <c:v>63.339999999999996</c:v>
                </c:pt>
                <c:pt idx="179">
                  <c:v>41.12</c:v>
                </c:pt>
                <c:pt idx="180">
                  <c:v>36.32</c:v>
                </c:pt>
                <c:pt idx="181">
                  <c:v>52.7</c:v>
                </c:pt>
                <c:pt idx="182">
                  <c:v>18.240000000000002</c:v>
                </c:pt>
                <c:pt idx="183">
                  <c:v>65.52000000000001</c:v>
                </c:pt>
                <c:pt idx="184">
                  <c:v>58.760000000000005</c:v>
                </c:pt>
                <c:pt idx="185">
                  <c:v>46</c:v>
                </c:pt>
                <c:pt idx="186">
                  <c:v>35.9</c:v>
                </c:pt>
                <c:pt idx="187">
                  <c:v>41.22</c:v>
                </c:pt>
                <c:pt idx="188">
                  <c:v>59.2</c:v>
                </c:pt>
                <c:pt idx="189">
                  <c:v>6.74</c:v>
                </c:pt>
                <c:pt idx="190">
                  <c:v>15.9</c:v>
                </c:pt>
                <c:pt idx="191">
                  <c:v>21.1</c:v>
                </c:pt>
                <c:pt idx="192">
                  <c:v>12.44</c:v>
                </c:pt>
                <c:pt idx="193">
                  <c:v>41.36</c:v>
                </c:pt>
                <c:pt idx="194">
                  <c:v>32.94</c:v>
                </c:pt>
                <c:pt idx="195">
                  <c:v>14.64</c:v>
                </c:pt>
                <c:pt idx="196">
                  <c:v>27.84</c:v>
                </c:pt>
                <c:pt idx="197">
                  <c:v>44.4</c:v>
                </c:pt>
                <c:pt idx="198">
                  <c:v>57.720000000000006</c:v>
                </c:pt>
                <c:pt idx="199">
                  <c:v>52.42</c:v>
                </c:pt>
              </c:numCache>
            </c:numRef>
          </c:xVal>
          <c:yVal>
            <c:numRef>
              <c:f>'05_Regression_Plots'!$H$2:$H$1015</c:f>
              <c:numCache>
                <c:formatCode>0</c:formatCode>
                <c:ptCount val="1014"/>
                <c:pt idx="0">
                  <c:v>236</c:v>
                </c:pt>
                <c:pt idx="1">
                  <c:v>122</c:v>
                </c:pt>
                <c:pt idx="2">
                  <c:v>96</c:v>
                </c:pt>
                <c:pt idx="3">
                  <c:v>197</c:v>
                </c:pt>
                <c:pt idx="4">
                  <c:v>137</c:v>
                </c:pt>
                <c:pt idx="5">
                  <c:v>86</c:v>
                </c:pt>
                <c:pt idx="6">
                  <c:v>123</c:v>
                </c:pt>
                <c:pt idx="7">
                  <c:v>152</c:v>
                </c:pt>
                <c:pt idx="8">
                  <c:v>54</c:v>
                </c:pt>
                <c:pt idx="9">
                  <c:v>119</c:v>
                </c:pt>
                <c:pt idx="10">
                  <c:v>95</c:v>
                </c:pt>
                <c:pt idx="11">
                  <c:v>151.5</c:v>
                </c:pt>
                <c:pt idx="12">
                  <c:v>95</c:v>
                </c:pt>
                <c:pt idx="13">
                  <c:v>113</c:v>
                </c:pt>
                <c:pt idx="14">
                  <c:v>191</c:v>
                </c:pt>
                <c:pt idx="15">
                  <c:v>240</c:v>
                </c:pt>
                <c:pt idx="16">
                  <c:v>135</c:v>
                </c:pt>
                <c:pt idx="17">
                  <c:v>258</c:v>
                </c:pt>
                <c:pt idx="18">
                  <c:v>127</c:v>
                </c:pt>
                <c:pt idx="19">
                  <c:v>148</c:v>
                </c:pt>
                <c:pt idx="20">
                  <c:v>188</c:v>
                </c:pt>
                <c:pt idx="21">
                  <c:v>127</c:v>
                </c:pt>
                <c:pt idx="22">
                  <c:v>170.89285714285714</c:v>
                </c:pt>
                <c:pt idx="23">
                  <c:v>175</c:v>
                </c:pt>
                <c:pt idx="24">
                  <c:v>110</c:v>
                </c:pt>
                <c:pt idx="25">
                  <c:v>139</c:v>
                </c:pt>
                <c:pt idx="26">
                  <c:v>167</c:v>
                </c:pt>
                <c:pt idx="27">
                  <c:v>168</c:v>
                </c:pt>
                <c:pt idx="28">
                  <c:v>199</c:v>
                </c:pt>
                <c:pt idx="29">
                  <c:v>123</c:v>
                </c:pt>
                <c:pt idx="30">
                  <c:v>231</c:v>
                </c:pt>
                <c:pt idx="31">
                  <c:v>126</c:v>
                </c:pt>
                <c:pt idx="32">
                  <c:v>112</c:v>
                </c:pt>
                <c:pt idx="33">
                  <c:v>184</c:v>
                </c:pt>
                <c:pt idx="34">
                  <c:v>91.5</c:v>
                </c:pt>
                <c:pt idx="35">
                  <c:v>129</c:v>
                </c:pt>
                <c:pt idx="36">
                  <c:v>256</c:v>
                </c:pt>
                <c:pt idx="37">
                  <c:v>152</c:v>
                </c:pt>
                <c:pt idx="38">
                  <c:v>114</c:v>
                </c:pt>
                <c:pt idx="39">
                  <c:v>230</c:v>
                </c:pt>
                <c:pt idx="40">
                  <c:v>179</c:v>
                </c:pt>
                <c:pt idx="41">
                  <c:v>186</c:v>
                </c:pt>
                <c:pt idx="42">
                  <c:v>226</c:v>
                </c:pt>
                <c:pt idx="43">
                  <c:v>149</c:v>
                </c:pt>
                <c:pt idx="44">
                  <c:v>89</c:v>
                </c:pt>
                <c:pt idx="45">
                  <c:v>165</c:v>
                </c:pt>
                <c:pt idx="46">
                  <c:v>119</c:v>
                </c:pt>
                <c:pt idx="47">
                  <c:v>245</c:v>
                </c:pt>
                <c:pt idx="48">
                  <c:v>149</c:v>
                </c:pt>
                <c:pt idx="49">
                  <c:v>111</c:v>
                </c:pt>
                <c:pt idx="50">
                  <c:v>122</c:v>
                </c:pt>
                <c:pt idx="51">
                  <c:v>112</c:v>
                </c:pt>
                <c:pt idx="52">
                  <c:v>235</c:v>
                </c:pt>
                <c:pt idx="53">
                  <c:v>225</c:v>
                </c:pt>
                <c:pt idx="54">
                  <c:v>220</c:v>
                </c:pt>
                <c:pt idx="55">
                  <c:v>240</c:v>
                </c:pt>
                <c:pt idx="56">
                  <c:v>71</c:v>
                </c:pt>
                <c:pt idx="57">
                  <c:v>133</c:v>
                </c:pt>
                <c:pt idx="58">
                  <c:v>239</c:v>
                </c:pt>
                <c:pt idx="59">
                  <c:v>186</c:v>
                </c:pt>
                <c:pt idx="60">
                  <c:v>83</c:v>
                </c:pt>
                <c:pt idx="61">
                  <c:v>240</c:v>
                </c:pt>
                <c:pt idx="62">
                  <c:v>170</c:v>
                </c:pt>
                <c:pt idx="63">
                  <c:v>291.75</c:v>
                </c:pt>
                <c:pt idx="64">
                  <c:v>187</c:v>
                </c:pt>
                <c:pt idx="65">
                  <c:v>109</c:v>
                </c:pt>
                <c:pt idx="66">
                  <c:v>104</c:v>
                </c:pt>
                <c:pt idx="67">
                  <c:v>135</c:v>
                </c:pt>
                <c:pt idx="68">
                  <c:v>196</c:v>
                </c:pt>
                <c:pt idx="69">
                  <c:v>229</c:v>
                </c:pt>
                <c:pt idx="70">
                  <c:v>196</c:v>
                </c:pt>
                <c:pt idx="71">
                  <c:v>129</c:v>
                </c:pt>
                <c:pt idx="72">
                  <c:v>106</c:v>
                </c:pt>
                <c:pt idx="73">
                  <c:v>117</c:v>
                </c:pt>
                <c:pt idx="74">
                  <c:v>187</c:v>
                </c:pt>
                <c:pt idx="75">
                  <c:v>105</c:v>
                </c:pt>
                <c:pt idx="76">
                  <c:v>83</c:v>
                </c:pt>
                <c:pt idx="77">
                  <c:v>149</c:v>
                </c:pt>
                <c:pt idx="78">
                  <c:v>62</c:v>
                </c:pt>
                <c:pt idx="79">
                  <c:v>120</c:v>
                </c:pt>
                <c:pt idx="80">
                  <c:v>120</c:v>
                </c:pt>
                <c:pt idx="81">
                  <c:v>128</c:v>
                </c:pt>
                <c:pt idx="82">
                  <c:v>128</c:v>
                </c:pt>
                <c:pt idx="83">
                  <c:v>149</c:v>
                </c:pt>
                <c:pt idx="84">
                  <c:v>223</c:v>
                </c:pt>
                <c:pt idx="85">
                  <c:v>159</c:v>
                </c:pt>
                <c:pt idx="86">
                  <c:v>122</c:v>
                </c:pt>
                <c:pt idx="87">
                  <c:v>180</c:v>
                </c:pt>
                <c:pt idx="88">
                  <c:v>147</c:v>
                </c:pt>
                <c:pt idx="89">
                  <c:v>177</c:v>
                </c:pt>
                <c:pt idx="90">
                  <c:v>93</c:v>
                </c:pt>
                <c:pt idx="91">
                  <c:v>74</c:v>
                </c:pt>
                <c:pt idx="92">
                  <c:v>291.75</c:v>
                </c:pt>
                <c:pt idx="93">
                  <c:v>225</c:v>
                </c:pt>
                <c:pt idx="94">
                  <c:v>117</c:v>
                </c:pt>
                <c:pt idx="95">
                  <c:v>175</c:v>
                </c:pt>
                <c:pt idx="96">
                  <c:v>132</c:v>
                </c:pt>
                <c:pt idx="97">
                  <c:v>168</c:v>
                </c:pt>
                <c:pt idx="98">
                  <c:v>257</c:v>
                </c:pt>
                <c:pt idx="99">
                  <c:v>183</c:v>
                </c:pt>
                <c:pt idx="100">
                  <c:v>137</c:v>
                </c:pt>
                <c:pt idx="101">
                  <c:v>254</c:v>
                </c:pt>
                <c:pt idx="102">
                  <c:v>158</c:v>
                </c:pt>
                <c:pt idx="103">
                  <c:v>163</c:v>
                </c:pt>
                <c:pt idx="104">
                  <c:v>208</c:v>
                </c:pt>
                <c:pt idx="105">
                  <c:v>196</c:v>
                </c:pt>
                <c:pt idx="106">
                  <c:v>86</c:v>
                </c:pt>
                <c:pt idx="107">
                  <c:v>104</c:v>
                </c:pt>
                <c:pt idx="108">
                  <c:v>54</c:v>
                </c:pt>
                <c:pt idx="109">
                  <c:v>140.72222222222223</c:v>
                </c:pt>
                <c:pt idx="110">
                  <c:v>150</c:v>
                </c:pt>
                <c:pt idx="111">
                  <c:v>221</c:v>
                </c:pt>
                <c:pt idx="112">
                  <c:v>159</c:v>
                </c:pt>
                <c:pt idx="113">
                  <c:v>167</c:v>
                </c:pt>
                <c:pt idx="114">
                  <c:v>152</c:v>
                </c:pt>
                <c:pt idx="115">
                  <c:v>133</c:v>
                </c:pt>
                <c:pt idx="116">
                  <c:v>129</c:v>
                </c:pt>
                <c:pt idx="117">
                  <c:v>108</c:v>
                </c:pt>
                <c:pt idx="118">
                  <c:v>172</c:v>
                </c:pt>
                <c:pt idx="119">
                  <c:v>77</c:v>
                </c:pt>
                <c:pt idx="120">
                  <c:v>163</c:v>
                </c:pt>
                <c:pt idx="121">
                  <c:v>81</c:v>
                </c:pt>
                <c:pt idx="122">
                  <c:v>125</c:v>
                </c:pt>
                <c:pt idx="123">
                  <c:v>171</c:v>
                </c:pt>
                <c:pt idx="124">
                  <c:v>201</c:v>
                </c:pt>
                <c:pt idx="125">
                  <c:v>126</c:v>
                </c:pt>
                <c:pt idx="126">
                  <c:v>78</c:v>
                </c:pt>
                <c:pt idx="127">
                  <c:v>92</c:v>
                </c:pt>
                <c:pt idx="128">
                  <c:v>264</c:v>
                </c:pt>
                <c:pt idx="129">
                  <c:v>116</c:v>
                </c:pt>
                <c:pt idx="130">
                  <c:v>28</c:v>
                </c:pt>
                <c:pt idx="131">
                  <c:v>147</c:v>
                </c:pt>
                <c:pt idx="132">
                  <c:v>71</c:v>
                </c:pt>
                <c:pt idx="133">
                  <c:v>164.45535714285714</c:v>
                </c:pt>
                <c:pt idx="134">
                  <c:v>124</c:v>
                </c:pt>
                <c:pt idx="135">
                  <c:v>124</c:v>
                </c:pt>
                <c:pt idx="136">
                  <c:v>98</c:v>
                </c:pt>
                <c:pt idx="137">
                  <c:v>210</c:v>
                </c:pt>
                <c:pt idx="138">
                  <c:v>109</c:v>
                </c:pt>
                <c:pt idx="139">
                  <c:v>227</c:v>
                </c:pt>
                <c:pt idx="140">
                  <c:v>113</c:v>
                </c:pt>
                <c:pt idx="141">
                  <c:v>207</c:v>
                </c:pt>
                <c:pt idx="142">
                  <c:v>218</c:v>
                </c:pt>
                <c:pt idx="143">
                  <c:v>144.14285714285714</c:v>
                </c:pt>
                <c:pt idx="144">
                  <c:v>127</c:v>
                </c:pt>
                <c:pt idx="145">
                  <c:v>123</c:v>
                </c:pt>
                <c:pt idx="146">
                  <c:v>142</c:v>
                </c:pt>
                <c:pt idx="147">
                  <c:v>265</c:v>
                </c:pt>
                <c:pt idx="148">
                  <c:v>110</c:v>
                </c:pt>
                <c:pt idx="149">
                  <c:v>118</c:v>
                </c:pt>
                <c:pt idx="150">
                  <c:v>166</c:v>
                </c:pt>
                <c:pt idx="151">
                  <c:v>125</c:v>
                </c:pt>
                <c:pt idx="152">
                  <c:v>169</c:v>
                </c:pt>
                <c:pt idx="153">
                  <c:v>208</c:v>
                </c:pt>
                <c:pt idx="154">
                  <c:v>166</c:v>
                </c:pt>
                <c:pt idx="155">
                  <c:v>35</c:v>
                </c:pt>
                <c:pt idx="156">
                  <c:v>173</c:v>
                </c:pt>
                <c:pt idx="157">
                  <c:v>111</c:v>
                </c:pt>
                <c:pt idx="158">
                  <c:v>85</c:v>
                </c:pt>
                <c:pt idx="159">
                  <c:v>138</c:v>
                </c:pt>
                <c:pt idx="160">
                  <c:v>159</c:v>
                </c:pt>
                <c:pt idx="161">
                  <c:v>151</c:v>
                </c:pt>
                <c:pt idx="162">
                  <c:v>168</c:v>
                </c:pt>
                <c:pt idx="163">
                  <c:v>193</c:v>
                </c:pt>
                <c:pt idx="164">
                  <c:v>132</c:v>
                </c:pt>
                <c:pt idx="165">
                  <c:v>131</c:v>
                </c:pt>
                <c:pt idx="166">
                  <c:v>90</c:v>
                </c:pt>
                <c:pt idx="167">
                  <c:v>129</c:v>
                </c:pt>
                <c:pt idx="168">
                  <c:v>185</c:v>
                </c:pt>
                <c:pt idx="169">
                  <c:v>162</c:v>
                </c:pt>
                <c:pt idx="170">
                  <c:v>90</c:v>
                </c:pt>
                <c:pt idx="171">
                  <c:v>163</c:v>
                </c:pt>
                <c:pt idx="172">
                  <c:v>93</c:v>
                </c:pt>
                <c:pt idx="173">
                  <c:v>129</c:v>
                </c:pt>
                <c:pt idx="174">
                  <c:v>127</c:v>
                </c:pt>
                <c:pt idx="175">
                  <c:v>271</c:v>
                </c:pt>
                <c:pt idx="176">
                  <c:v>216</c:v>
                </c:pt>
                <c:pt idx="177">
                  <c:v>131</c:v>
                </c:pt>
                <c:pt idx="178">
                  <c:v>131</c:v>
                </c:pt>
                <c:pt idx="179">
                  <c:v>135</c:v>
                </c:pt>
                <c:pt idx="180">
                  <c:v>108</c:v>
                </c:pt>
                <c:pt idx="181">
                  <c:v>124</c:v>
                </c:pt>
                <c:pt idx="182">
                  <c:v>105</c:v>
                </c:pt>
                <c:pt idx="183">
                  <c:v>272</c:v>
                </c:pt>
                <c:pt idx="184">
                  <c:v>188</c:v>
                </c:pt>
                <c:pt idx="185">
                  <c:v>228</c:v>
                </c:pt>
                <c:pt idx="186">
                  <c:v>108</c:v>
                </c:pt>
                <c:pt idx="187">
                  <c:v>186</c:v>
                </c:pt>
                <c:pt idx="188">
                  <c:v>167</c:v>
                </c:pt>
                <c:pt idx="189">
                  <c:v>83</c:v>
                </c:pt>
                <c:pt idx="190">
                  <c:v>114</c:v>
                </c:pt>
                <c:pt idx="191">
                  <c:v>116</c:v>
                </c:pt>
                <c:pt idx="192">
                  <c:v>62</c:v>
                </c:pt>
                <c:pt idx="193">
                  <c:v>204</c:v>
                </c:pt>
                <c:pt idx="194">
                  <c:v>184</c:v>
                </c:pt>
                <c:pt idx="195">
                  <c:v>91</c:v>
                </c:pt>
                <c:pt idx="196">
                  <c:v>116</c:v>
                </c:pt>
                <c:pt idx="197">
                  <c:v>139</c:v>
                </c:pt>
                <c:pt idx="198">
                  <c:v>235.5</c:v>
                </c:pt>
                <c:pt idx="199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67-4AFF-B07A-364C73605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771039"/>
        <c:axId val="1799274847"/>
      </c:scatterChart>
      <c:valAx>
        <c:axId val="182577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99274847"/>
        <c:crosses val="autoZero"/>
        <c:crossBetween val="midCat"/>
      </c:valAx>
      <c:valAx>
        <c:axId val="179927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2577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Tiktok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'05_Regression_Plots'!$H$1</c:f>
              <c:strCache>
                <c:ptCount val="1"/>
                <c:pt idx="0">
                  <c:v>SALES_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18025439127802E-2"/>
                  <c:y val="-0.274544904921619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rgbClr val="FF0000"/>
                        </a:solidFill>
                      </a:rPr>
                      <a:t>y = 2.4093x + 108.24</a:t>
                    </a:r>
                    <a:endParaRPr lang="en-US" sz="1200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'05_Regression_Plots'!$G$2:$G$1015</c:f>
              <c:numCache>
                <c:formatCode>0</c:formatCode>
                <c:ptCount val="1014"/>
                <c:pt idx="0">
                  <c:v>14.229999999999993</c:v>
                </c:pt>
                <c:pt idx="1">
                  <c:v>6.0599999999999952</c:v>
                </c:pt>
                <c:pt idx="2">
                  <c:v>16.95</c:v>
                </c:pt>
                <c:pt idx="3">
                  <c:v>12.399999999999995</c:v>
                </c:pt>
                <c:pt idx="4">
                  <c:v>0.12000000000000455</c:v>
                </c:pt>
                <c:pt idx="5">
                  <c:v>15.32</c:v>
                </c:pt>
                <c:pt idx="6">
                  <c:v>12.749999999999998</c:v>
                </c:pt>
                <c:pt idx="7">
                  <c:v>17.18</c:v>
                </c:pt>
                <c:pt idx="8">
                  <c:v>1.5100000000000002</c:v>
                </c:pt>
                <c:pt idx="9">
                  <c:v>12.8</c:v>
                </c:pt>
                <c:pt idx="10">
                  <c:v>19.829999999999998</c:v>
                </c:pt>
                <c:pt idx="11">
                  <c:v>31.869999999999997</c:v>
                </c:pt>
                <c:pt idx="12">
                  <c:v>17.100000000000001</c:v>
                </c:pt>
                <c:pt idx="13">
                  <c:v>17.100000000000001</c:v>
                </c:pt>
                <c:pt idx="14">
                  <c:v>18.459999999999997</c:v>
                </c:pt>
                <c:pt idx="15">
                  <c:v>22.23</c:v>
                </c:pt>
                <c:pt idx="16">
                  <c:v>23.379999999999995</c:v>
                </c:pt>
                <c:pt idx="17">
                  <c:v>25.619999999999997</c:v>
                </c:pt>
                <c:pt idx="18">
                  <c:v>9.8500000000000014</c:v>
                </c:pt>
                <c:pt idx="19">
                  <c:v>19.04</c:v>
                </c:pt>
                <c:pt idx="20">
                  <c:v>14.329999999999998</c:v>
                </c:pt>
                <c:pt idx="21">
                  <c:v>16.89</c:v>
                </c:pt>
                <c:pt idx="22">
                  <c:v>9.4299999999999962</c:v>
                </c:pt>
                <c:pt idx="23">
                  <c:v>20.8</c:v>
                </c:pt>
                <c:pt idx="24">
                  <c:v>5.2099999999999991</c:v>
                </c:pt>
                <c:pt idx="25">
                  <c:v>20.239999999999998</c:v>
                </c:pt>
                <c:pt idx="26">
                  <c:v>23.900000000000002</c:v>
                </c:pt>
                <c:pt idx="27">
                  <c:v>23.2</c:v>
                </c:pt>
                <c:pt idx="28">
                  <c:v>29.270000000000007</c:v>
                </c:pt>
                <c:pt idx="29">
                  <c:v>18.739999999999998</c:v>
                </c:pt>
                <c:pt idx="30">
                  <c:v>26.159999999999997</c:v>
                </c:pt>
                <c:pt idx="31">
                  <c:v>37.253750000000011</c:v>
                </c:pt>
                <c:pt idx="32">
                  <c:v>18.47</c:v>
                </c:pt>
                <c:pt idx="33">
                  <c:v>36.440000000000005</c:v>
                </c:pt>
                <c:pt idx="34">
                  <c:v>7.3099999999999987</c:v>
                </c:pt>
                <c:pt idx="35">
                  <c:v>27.72</c:v>
                </c:pt>
                <c:pt idx="36">
                  <c:v>41.756249999999994</c:v>
                </c:pt>
                <c:pt idx="37">
                  <c:v>13.89</c:v>
                </c:pt>
                <c:pt idx="38">
                  <c:v>3.6199999999999992</c:v>
                </c:pt>
                <c:pt idx="39">
                  <c:v>28.850000000000005</c:v>
                </c:pt>
                <c:pt idx="40">
                  <c:v>18.759999999999998</c:v>
                </c:pt>
                <c:pt idx="41">
                  <c:v>18.919999999999995</c:v>
                </c:pt>
                <c:pt idx="42">
                  <c:v>41.756249999999994</c:v>
                </c:pt>
                <c:pt idx="43">
                  <c:v>14.33</c:v>
                </c:pt>
                <c:pt idx="44">
                  <c:v>18.04</c:v>
                </c:pt>
                <c:pt idx="45">
                  <c:v>16.159999999999997</c:v>
                </c:pt>
                <c:pt idx="46">
                  <c:v>19.64</c:v>
                </c:pt>
                <c:pt idx="47">
                  <c:v>37.340000000000003</c:v>
                </c:pt>
                <c:pt idx="48">
                  <c:v>10.659999999999997</c:v>
                </c:pt>
                <c:pt idx="49">
                  <c:v>17.82</c:v>
                </c:pt>
                <c:pt idx="50">
                  <c:v>7.6899999999999995</c:v>
                </c:pt>
                <c:pt idx="51">
                  <c:v>13.4</c:v>
                </c:pt>
                <c:pt idx="52">
                  <c:v>26.65</c:v>
                </c:pt>
                <c:pt idx="53">
                  <c:v>17.879999999999995</c:v>
                </c:pt>
                <c:pt idx="54">
                  <c:v>34.31</c:v>
                </c:pt>
                <c:pt idx="55">
                  <c:v>20.590000000000003</c:v>
                </c:pt>
                <c:pt idx="56">
                  <c:v>18.220000000000002</c:v>
                </c:pt>
                <c:pt idx="57">
                  <c:v>16.579999999999998</c:v>
                </c:pt>
                <c:pt idx="58">
                  <c:v>30.8</c:v>
                </c:pt>
                <c:pt idx="59">
                  <c:v>32.1</c:v>
                </c:pt>
                <c:pt idx="60">
                  <c:v>17.79</c:v>
                </c:pt>
                <c:pt idx="61">
                  <c:v>25.6</c:v>
                </c:pt>
                <c:pt idx="62">
                  <c:v>20.759999999999998</c:v>
                </c:pt>
                <c:pt idx="63">
                  <c:v>21.71</c:v>
                </c:pt>
                <c:pt idx="64">
                  <c:v>22.949999999999996</c:v>
                </c:pt>
                <c:pt idx="65">
                  <c:v>11.190000000000001</c:v>
                </c:pt>
                <c:pt idx="66">
                  <c:v>14.57</c:v>
                </c:pt>
                <c:pt idx="67">
                  <c:v>17.100000000000001</c:v>
                </c:pt>
                <c:pt idx="68">
                  <c:v>33.090000000000003</c:v>
                </c:pt>
                <c:pt idx="69">
                  <c:v>32.749999999999993</c:v>
                </c:pt>
                <c:pt idx="70">
                  <c:v>19.729999999999997</c:v>
                </c:pt>
                <c:pt idx="71">
                  <c:v>5.4500000000000028</c:v>
                </c:pt>
                <c:pt idx="72">
                  <c:v>11.459999999999999</c:v>
                </c:pt>
                <c:pt idx="73">
                  <c:v>3.2699999999999996</c:v>
                </c:pt>
                <c:pt idx="74">
                  <c:v>28.4</c:v>
                </c:pt>
                <c:pt idx="75">
                  <c:v>7.7799999999999976</c:v>
                </c:pt>
                <c:pt idx="76">
                  <c:v>15.27</c:v>
                </c:pt>
                <c:pt idx="77">
                  <c:v>20.62</c:v>
                </c:pt>
                <c:pt idx="78">
                  <c:v>11.729999999999999</c:v>
                </c:pt>
                <c:pt idx="79">
                  <c:v>6.2099999999999991</c:v>
                </c:pt>
                <c:pt idx="80">
                  <c:v>12.070000000000002</c:v>
                </c:pt>
                <c:pt idx="81">
                  <c:v>11.270000000000001</c:v>
                </c:pt>
                <c:pt idx="82">
                  <c:v>4.68</c:v>
                </c:pt>
                <c:pt idx="83">
                  <c:v>14.849999999999998</c:v>
                </c:pt>
                <c:pt idx="84">
                  <c:v>29.330000000000002</c:v>
                </c:pt>
                <c:pt idx="85">
                  <c:v>2.2399999999999984</c:v>
                </c:pt>
                <c:pt idx="86">
                  <c:v>14.979999999999999</c:v>
                </c:pt>
                <c:pt idx="87">
                  <c:v>6.09</c:v>
                </c:pt>
                <c:pt idx="88">
                  <c:v>12.219999999999995</c:v>
                </c:pt>
                <c:pt idx="89">
                  <c:v>14.319999999999993</c:v>
                </c:pt>
                <c:pt idx="90">
                  <c:v>12.160000000000002</c:v>
                </c:pt>
                <c:pt idx="91">
                  <c:v>10.41</c:v>
                </c:pt>
                <c:pt idx="92">
                  <c:v>14.919999999999995</c:v>
                </c:pt>
                <c:pt idx="93">
                  <c:v>14.420000000000002</c:v>
                </c:pt>
                <c:pt idx="94">
                  <c:v>13.380000000000003</c:v>
                </c:pt>
                <c:pt idx="95">
                  <c:v>10.970000000000002</c:v>
                </c:pt>
                <c:pt idx="96">
                  <c:v>19.149999999999999</c:v>
                </c:pt>
                <c:pt idx="97">
                  <c:v>20.190000000000001</c:v>
                </c:pt>
                <c:pt idx="98">
                  <c:v>29.639999999999993</c:v>
                </c:pt>
                <c:pt idx="99">
                  <c:v>16.010000000000005</c:v>
                </c:pt>
                <c:pt idx="100">
                  <c:v>4.4699999999999989</c:v>
                </c:pt>
                <c:pt idx="101">
                  <c:v>10.339999999999989</c:v>
                </c:pt>
                <c:pt idx="102">
                  <c:v>24.509999999999998</c:v>
                </c:pt>
                <c:pt idx="103">
                  <c:v>20.23</c:v>
                </c:pt>
                <c:pt idx="104">
                  <c:v>38.85</c:v>
                </c:pt>
                <c:pt idx="105">
                  <c:v>13.39</c:v>
                </c:pt>
                <c:pt idx="106">
                  <c:v>16.119999999999997</c:v>
                </c:pt>
                <c:pt idx="107">
                  <c:v>19.910000000000004</c:v>
                </c:pt>
                <c:pt idx="108">
                  <c:v>11.269999999999998</c:v>
                </c:pt>
                <c:pt idx="109">
                  <c:v>36.789999999999992</c:v>
                </c:pt>
                <c:pt idx="110">
                  <c:v>4.0799999999999983</c:v>
                </c:pt>
                <c:pt idx="111">
                  <c:v>33.89</c:v>
                </c:pt>
                <c:pt idx="112">
                  <c:v>24.31</c:v>
                </c:pt>
                <c:pt idx="113">
                  <c:v>26.98</c:v>
                </c:pt>
                <c:pt idx="114">
                  <c:v>17.419999999999998</c:v>
                </c:pt>
                <c:pt idx="115">
                  <c:v>3.9299999999999962</c:v>
                </c:pt>
                <c:pt idx="116">
                  <c:v>10.829999999999998</c:v>
                </c:pt>
                <c:pt idx="117">
                  <c:v>2.12</c:v>
                </c:pt>
                <c:pt idx="118">
                  <c:v>19.339999999999996</c:v>
                </c:pt>
                <c:pt idx="119">
                  <c:v>1.0199999999999996</c:v>
                </c:pt>
                <c:pt idx="120">
                  <c:v>9.0500000000000007</c:v>
                </c:pt>
                <c:pt idx="121">
                  <c:v>12.57</c:v>
                </c:pt>
                <c:pt idx="122">
                  <c:v>17.36</c:v>
                </c:pt>
                <c:pt idx="123">
                  <c:v>24.65</c:v>
                </c:pt>
                <c:pt idx="124">
                  <c:v>9.419999999999991</c:v>
                </c:pt>
                <c:pt idx="125">
                  <c:v>4.2600000000000016</c:v>
                </c:pt>
                <c:pt idx="126">
                  <c:v>19.989999999999998</c:v>
                </c:pt>
                <c:pt idx="127">
                  <c:v>31.35</c:v>
                </c:pt>
                <c:pt idx="128">
                  <c:v>41.756249999999994</c:v>
                </c:pt>
                <c:pt idx="129">
                  <c:v>14.719999999999999</c:v>
                </c:pt>
                <c:pt idx="130">
                  <c:v>41.756249999999994</c:v>
                </c:pt>
                <c:pt idx="131">
                  <c:v>10.77</c:v>
                </c:pt>
                <c:pt idx="132">
                  <c:v>13.6</c:v>
                </c:pt>
                <c:pt idx="133">
                  <c:v>20.69</c:v>
                </c:pt>
                <c:pt idx="134">
                  <c:v>16.750000000000004</c:v>
                </c:pt>
                <c:pt idx="135">
                  <c:v>24.93</c:v>
                </c:pt>
                <c:pt idx="136">
                  <c:v>18.339999999999996</c:v>
                </c:pt>
                <c:pt idx="137">
                  <c:v>17.939999999999991</c:v>
                </c:pt>
                <c:pt idx="138">
                  <c:v>9.0499999999999989</c:v>
                </c:pt>
                <c:pt idx="139">
                  <c:v>39.76</c:v>
                </c:pt>
                <c:pt idx="140">
                  <c:v>10.68</c:v>
                </c:pt>
                <c:pt idx="141">
                  <c:v>6.8299999999999947</c:v>
                </c:pt>
                <c:pt idx="142">
                  <c:v>23.490000000000006</c:v>
                </c:pt>
                <c:pt idx="143">
                  <c:v>19.549999999999997</c:v>
                </c:pt>
                <c:pt idx="144">
                  <c:v>1.4600000000000026</c:v>
                </c:pt>
                <c:pt idx="145">
                  <c:v>11.38</c:v>
                </c:pt>
                <c:pt idx="146">
                  <c:v>24.179999999999996</c:v>
                </c:pt>
                <c:pt idx="147">
                  <c:v>31.1</c:v>
                </c:pt>
                <c:pt idx="148">
                  <c:v>19.189999999999998</c:v>
                </c:pt>
                <c:pt idx="149">
                  <c:v>9.1300000000000008</c:v>
                </c:pt>
                <c:pt idx="150">
                  <c:v>20.220000000000002</c:v>
                </c:pt>
                <c:pt idx="151">
                  <c:v>16.819999999999997</c:v>
                </c:pt>
                <c:pt idx="152">
                  <c:v>25.729999999999997</c:v>
                </c:pt>
                <c:pt idx="153">
                  <c:v>21.900000000000002</c:v>
                </c:pt>
                <c:pt idx="154">
                  <c:v>25.53</c:v>
                </c:pt>
                <c:pt idx="155">
                  <c:v>41.756249999999994</c:v>
                </c:pt>
                <c:pt idx="156">
                  <c:v>10.939999999999998</c:v>
                </c:pt>
                <c:pt idx="157">
                  <c:v>5.91</c:v>
                </c:pt>
                <c:pt idx="158">
                  <c:v>1.5399999999999956</c:v>
                </c:pt>
                <c:pt idx="159">
                  <c:v>8.5299999999999958</c:v>
                </c:pt>
                <c:pt idx="160">
                  <c:v>14.02</c:v>
                </c:pt>
                <c:pt idx="161">
                  <c:v>6.75</c:v>
                </c:pt>
                <c:pt idx="162">
                  <c:v>17.649999999999999</c:v>
                </c:pt>
                <c:pt idx="163">
                  <c:v>31.79</c:v>
                </c:pt>
                <c:pt idx="164">
                  <c:v>16.91</c:v>
                </c:pt>
                <c:pt idx="165">
                  <c:v>11.229999999999997</c:v>
                </c:pt>
                <c:pt idx="166">
                  <c:v>11.95</c:v>
                </c:pt>
                <c:pt idx="167">
                  <c:v>15.520000000000001</c:v>
                </c:pt>
                <c:pt idx="168">
                  <c:v>10.3</c:v>
                </c:pt>
                <c:pt idx="169">
                  <c:v>31.169999999999995</c:v>
                </c:pt>
                <c:pt idx="170">
                  <c:v>3.4400000000000013</c:v>
                </c:pt>
                <c:pt idx="171">
                  <c:v>7.9399999999999977</c:v>
                </c:pt>
                <c:pt idx="172">
                  <c:v>5.2100000000000009</c:v>
                </c:pt>
                <c:pt idx="173">
                  <c:v>15.27</c:v>
                </c:pt>
                <c:pt idx="174">
                  <c:v>18.700000000000003</c:v>
                </c:pt>
                <c:pt idx="175">
                  <c:v>35.42</c:v>
                </c:pt>
                <c:pt idx="176">
                  <c:v>31.819999999999997</c:v>
                </c:pt>
                <c:pt idx="177">
                  <c:v>41.756249999999994</c:v>
                </c:pt>
                <c:pt idx="178">
                  <c:v>19.339999999999996</c:v>
                </c:pt>
                <c:pt idx="179">
                  <c:v>14.519999999999998</c:v>
                </c:pt>
                <c:pt idx="180">
                  <c:v>13.64</c:v>
                </c:pt>
                <c:pt idx="181">
                  <c:v>13.59</c:v>
                </c:pt>
                <c:pt idx="182">
                  <c:v>16.59</c:v>
                </c:pt>
                <c:pt idx="183">
                  <c:v>21.540000000000006</c:v>
                </c:pt>
                <c:pt idx="184">
                  <c:v>24.03</c:v>
                </c:pt>
                <c:pt idx="185">
                  <c:v>35.209999999999994</c:v>
                </c:pt>
                <c:pt idx="186">
                  <c:v>4.3599999999999994</c:v>
                </c:pt>
                <c:pt idx="187">
                  <c:v>26.18</c:v>
                </c:pt>
                <c:pt idx="188">
                  <c:v>34.070000000000007</c:v>
                </c:pt>
                <c:pt idx="189">
                  <c:v>18.560000000000002</c:v>
                </c:pt>
                <c:pt idx="190">
                  <c:v>22.18</c:v>
                </c:pt>
                <c:pt idx="191">
                  <c:v>10.549999999999999</c:v>
                </c:pt>
                <c:pt idx="192">
                  <c:v>11.129999999999999</c:v>
                </c:pt>
                <c:pt idx="193">
                  <c:v>36.24</c:v>
                </c:pt>
                <c:pt idx="194">
                  <c:v>17.100000000000001</c:v>
                </c:pt>
                <c:pt idx="195">
                  <c:v>0.14999999999999947</c:v>
                </c:pt>
                <c:pt idx="196">
                  <c:v>8.6300000000000008</c:v>
                </c:pt>
                <c:pt idx="197">
                  <c:v>19.79</c:v>
                </c:pt>
                <c:pt idx="198">
                  <c:v>22.879999999999995</c:v>
                </c:pt>
                <c:pt idx="199">
                  <c:v>1</c:v>
                </c:pt>
              </c:numCache>
            </c:numRef>
          </c:xVal>
          <c:yVal>
            <c:numRef>
              <c:f>'05_Regression_Plots'!$H$2:$H$1015</c:f>
              <c:numCache>
                <c:formatCode>0</c:formatCode>
                <c:ptCount val="1014"/>
                <c:pt idx="0">
                  <c:v>236</c:v>
                </c:pt>
                <c:pt idx="1">
                  <c:v>122</c:v>
                </c:pt>
                <c:pt idx="2">
                  <c:v>96</c:v>
                </c:pt>
                <c:pt idx="3">
                  <c:v>197</c:v>
                </c:pt>
                <c:pt idx="4">
                  <c:v>137</c:v>
                </c:pt>
                <c:pt idx="5">
                  <c:v>86</c:v>
                </c:pt>
                <c:pt idx="6">
                  <c:v>123</c:v>
                </c:pt>
                <c:pt idx="7">
                  <c:v>152</c:v>
                </c:pt>
                <c:pt idx="8">
                  <c:v>54</c:v>
                </c:pt>
                <c:pt idx="9">
                  <c:v>119</c:v>
                </c:pt>
                <c:pt idx="10">
                  <c:v>95</c:v>
                </c:pt>
                <c:pt idx="11">
                  <c:v>151.5</c:v>
                </c:pt>
                <c:pt idx="12">
                  <c:v>95</c:v>
                </c:pt>
                <c:pt idx="13">
                  <c:v>113</c:v>
                </c:pt>
                <c:pt idx="14">
                  <c:v>191</c:v>
                </c:pt>
                <c:pt idx="15">
                  <c:v>240</c:v>
                </c:pt>
                <c:pt idx="16">
                  <c:v>135</c:v>
                </c:pt>
                <c:pt idx="17">
                  <c:v>258</c:v>
                </c:pt>
                <c:pt idx="18">
                  <c:v>127</c:v>
                </c:pt>
                <c:pt idx="19">
                  <c:v>148</c:v>
                </c:pt>
                <c:pt idx="20">
                  <c:v>188</c:v>
                </c:pt>
                <c:pt idx="21">
                  <c:v>127</c:v>
                </c:pt>
                <c:pt idx="22">
                  <c:v>170.89285714285714</c:v>
                </c:pt>
                <c:pt idx="23">
                  <c:v>175</c:v>
                </c:pt>
                <c:pt idx="24">
                  <c:v>110</c:v>
                </c:pt>
                <c:pt idx="25">
                  <c:v>139</c:v>
                </c:pt>
                <c:pt idx="26">
                  <c:v>167</c:v>
                </c:pt>
                <c:pt idx="27">
                  <c:v>168</c:v>
                </c:pt>
                <c:pt idx="28">
                  <c:v>199</c:v>
                </c:pt>
                <c:pt idx="29">
                  <c:v>123</c:v>
                </c:pt>
                <c:pt idx="30">
                  <c:v>231</c:v>
                </c:pt>
                <c:pt idx="31">
                  <c:v>126</c:v>
                </c:pt>
                <c:pt idx="32">
                  <c:v>112</c:v>
                </c:pt>
                <c:pt idx="33">
                  <c:v>184</c:v>
                </c:pt>
                <c:pt idx="34">
                  <c:v>91.5</c:v>
                </c:pt>
                <c:pt idx="35">
                  <c:v>129</c:v>
                </c:pt>
                <c:pt idx="36">
                  <c:v>256</c:v>
                </c:pt>
                <c:pt idx="37">
                  <c:v>152</c:v>
                </c:pt>
                <c:pt idx="38">
                  <c:v>114</c:v>
                </c:pt>
                <c:pt idx="39">
                  <c:v>230</c:v>
                </c:pt>
                <c:pt idx="40">
                  <c:v>179</c:v>
                </c:pt>
                <c:pt idx="41">
                  <c:v>186</c:v>
                </c:pt>
                <c:pt idx="42">
                  <c:v>226</c:v>
                </c:pt>
                <c:pt idx="43">
                  <c:v>149</c:v>
                </c:pt>
                <c:pt idx="44">
                  <c:v>89</c:v>
                </c:pt>
                <c:pt idx="45">
                  <c:v>165</c:v>
                </c:pt>
                <c:pt idx="46">
                  <c:v>119</c:v>
                </c:pt>
                <c:pt idx="47">
                  <c:v>245</c:v>
                </c:pt>
                <c:pt idx="48">
                  <c:v>149</c:v>
                </c:pt>
                <c:pt idx="49">
                  <c:v>111</c:v>
                </c:pt>
                <c:pt idx="50">
                  <c:v>122</c:v>
                </c:pt>
                <c:pt idx="51">
                  <c:v>112</c:v>
                </c:pt>
                <c:pt idx="52">
                  <c:v>235</c:v>
                </c:pt>
                <c:pt idx="53">
                  <c:v>225</c:v>
                </c:pt>
                <c:pt idx="54">
                  <c:v>220</c:v>
                </c:pt>
                <c:pt idx="55">
                  <c:v>240</c:v>
                </c:pt>
                <c:pt idx="56">
                  <c:v>71</c:v>
                </c:pt>
                <c:pt idx="57">
                  <c:v>133</c:v>
                </c:pt>
                <c:pt idx="58">
                  <c:v>239</c:v>
                </c:pt>
                <c:pt idx="59">
                  <c:v>186</c:v>
                </c:pt>
                <c:pt idx="60">
                  <c:v>83</c:v>
                </c:pt>
                <c:pt idx="61">
                  <c:v>240</c:v>
                </c:pt>
                <c:pt idx="62">
                  <c:v>170</c:v>
                </c:pt>
                <c:pt idx="63">
                  <c:v>291.75</c:v>
                </c:pt>
                <c:pt idx="64">
                  <c:v>187</c:v>
                </c:pt>
                <c:pt idx="65">
                  <c:v>109</c:v>
                </c:pt>
                <c:pt idx="66">
                  <c:v>104</c:v>
                </c:pt>
                <c:pt idx="67">
                  <c:v>135</c:v>
                </c:pt>
                <c:pt idx="68">
                  <c:v>196</c:v>
                </c:pt>
                <c:pt idx="69">
                  <c:v>229</c:v>
                </c:pt>
                <c:pt idx="70">
                  <c:v>196</c:v>
                </c:pt>
                <c:pt idx="71">
                  <c:v>129</c:v>
                </c:pt>
                <c:pt idx="72">
                  <c:v>106</c:v>
                </c:pt>
                <c:pt idx="73">
                  <c:v>117</c:v>
                </c:pt>
                <c:pt idx="74">
                  <c:v>187</c:v>
                </c:pt>
                <c:pt idx="75">
                  <c:v>105</c:v>
                </c:pt>
                <c:pt idx="76">
                  <c:v>83</c:v>
                </c:pt>
                <c:pt idx="77">
                  <c:v>149</c:v>
                </c:pt>
                <c:pt idx="78">
                  <c:v>62</c:v>
                </c:pt>
                <c:pt idx="79">
                  <c:v>120</c:v>
                </c:pt>
                <c:pt idx="80">
                  <c:v>120</c:v>
                </c:pt>
                <c:pt idx="81">
                  <c:v>128</c:v>
                </c:pt>
                <c:pt idx="82">
                  <c:v>128</c:v>
                </c:pt>
                <c:pt idx="83">
                  <c:v>149</c:v>
                </c:pt>
                <c:pt idx="84">
                  <c:v>223</c:v>
                </c:pt>
                <c:pt idx="85">
                  <c:v>159</c:v>
                </c:pt>
                <c:pt idx="86">
                  <c:v>122</c:v>
                </c:pt>
                <c:pt idx="87">
                  <c:v>180</c:v>
                </c:pt>
                <c:pt idx="88">
                  <c:v>147</c:v>
                </c:pt>
                <c:pt idx="89">
                  <c:v>177</c:v>
                </c:pt>
                <c:pt idx="90">
                  <c:v>93</c:v>
                </c:pt>
                <c:pt idx="91">
                  <c:v>74</c:v>
                </c:pt>
                <c:pt idx="92">
                  <c:v>291.75</c:v>
                </c:pt>
                <c:pt idx="93">
                  <c:v>225</c:v>
                </c:pt>
                <c:pt idx="94">
                  <c:v>117</c:v>
                </c:pt>
                <c:pt idx="95">
                  <c:v>175</c:v>
                </c:pt>
                <c:pt idx="96">
                  <c:v>132</c:v>
                </c:pt>
                <c:pt idx="97">
                  <c:v>168</c:v>
                </c:pt>
                <c:pt idx="98">
                  <c:v>257</c:v>
                </c:pt>
                <c:pt idx="99">
                  <c:v>183</c:v>
                </c:pt>
                <c:pt idx="100">
                  <c:v>137</c:v>
                </c:pt>
                <c:pt idx="101">
                  <c:v>254</c:v>
                </c:pt>
                <c:pt idx="102">
                  <c:v>158</c:v>
                </c:pt>
                <c:pt idx="103">
                  <c:v>163</c:v>
                </c:pt>
                <c:pt idx="104">
                  <c:v>208</c:v>
                </c:pt>
                <c:pt idx="105">
                  <c:v>196</c:v>
                </c:pt>
                <c:pt idx="106">
                  <c:v>86</c:v>
                </c:pt>
                <c:pt idx="107">
                  <c:v>104</c:v>
                </c:pt>
                <c:pt idx="108">
                  <c:v>54</c:v>
                </c:pt>
                <c:pt idx="109">
                  <c:v>140.72222222222223</c:v>
                </c:pt>
                <c:pt idx="110">
                  <c:v>150</c:v>
                </c:pt>
                <c:pt idx="111">
                  <c:v>221</c:v>
                </c:pt>
                <c:pt idx="112">
                  <c:v>159</c:v>
                </c:pt>
                <c:pt idx="113">
                  <c:v>167</c:v>
                </c:pt>
                <c:pt idx="114">
                  <c:v>152</c:v>
                </c:pt>
                <c:pt idx="115">
                  <c:v>133</c:v>
                </c:pt>
                <c:pt idx="116">
                  <c:v>129</c:v>
                </c:pt>
                <c:pt idx="117">
                  <c:v>108</c:v>
                </c:pt>
                <c:pt idx="118">
                  <c:v>172</c:v>
                </c:pt>
                <c:pt idx="119">
                  <c:v>77</c:v>
                </c:pt>
                <c:pt idx="120">
                  <c:v>163</c:v>
                </c:pt>
                <c:pt idx="121">
                  <c:v>81</c:v>
                </c:pt>
                <c:pt idx="122">
                  <c:v>125</c:v>
                </c:pt>
                <c:pt idx="123">
                  <c:v>171</c:v>
                </c:pt>
                <c:pt idx="124">
                  <c:v>201</c:v>
                </c:pt>
                <c:pt idx="125">
                  <c:v>126</c:v>
                </c:pt>
                <c:pt idx="126">
                  <c:v>78</c:v>
                </c:pt>
                <c:pt idx="127">
                  <c:v>92</c:v>
                </c:pt>
                <c:pt idx="128">
                  <c:v>264</c:v>
                </c:pt>
                <c:pt idx="129">
                  <c:v>116</c:v>
                </c:pt>
                <c:pt idx="130">
                  <c:v>28</c:v>
                </c:pt>
                <c:pt idx="131">
                  <c:v>147</c:v>
                </c:pt>
                <c:pt idx="132">
                  <c:v>71</c:v>
                </c:pt>
                <c:pt idx="133">
                  <c:v>164.45535714285714</c:v>
                </c:pt>
                <c:pt idx="134">
                  <c:v>124</c:v>
                </c:pt>
                <c:pt idx="135">
                  <c:v>124</c:v>
                </c:pt>
                <c:pt idx="136">
                  <c:v>98</c:v>
                </c:pt>
                <c:pt idx="137">
                  <c:v>210</c:v>
                </c:pt>
                <c:pt idx="138">
                  <c:v>109</c:v>
                </c:pt>
                <c:pt idx="139">
                  <c:v>227</c:v>
                </c:pt>
                <c:pt idx="140">
                  <c:v>113</c:v>
                </c:pt>
                <c:pt idx="141">
                  <c:v>207</c:v>
                </c:pt>
                <c:pt idx="142">
                  <c:v>218</c:v>
                </c:pt>
                <c:pt idx="143">
                  <c:v>144.14285714285714</c:v>
                </c:pt>
                <c:pt idx="144">
                  <c:v>127</c:v>
                </c:pt>
                <c:pt idx="145">
                  <c:v>123</c:v>
                </c:pt>
                <c:pt idx="146">
                  <c:v>142</c:v>
                </c:pt>
                <c:pt idx="147">
                  <c:v>265</c:v>
                </c:pt>
                <c:pt idx="148">
                  <c:v>110</c:v>
                </c:pt>
                <c:pt idx="149">
                  <c:v>118</c:v>
                </c:pt>
                <c:pt idx="150">
                  <c:v>166</c:v>
                </c:pt>
                <c:pt idx="151">
                  <c:v>125</c:v>
                </c:pt>
                <c:pt idx="152">
                  <c:v>169</c:v>
                </c:pt>
                <c:pt idx="153">
                  <c:v>208</c:v>
                </c:pt>
                <c:pt idx="154">
                  <c:v>166</c:v>
                </c:pt>
                <c:pt idx="155">
                  <c:v>35</c:v>
                </c:pt>
                <c:pt idx="156">
                  <c:v>173</c:v>
                </c:pt>
                <c:pt idx="157">
                  <c:v>111</c:v>
                </c:pt>
                <c:pt idx="158">
                  <c:v>85</c:v>
                </c:pt>
                <c:pt idx="159">
                  <c:v>138</c:v>
                </c:pt>
                <c:pt idx="160">
                  <c:v>159</c:v>
                </c:pt>
                <c:pt idx="161">
                  <c:v>151</c:v>
                </c:pt>
                <c:pt idx="162">
                  <c:v>168</c:v>
                </c:pt>
                <c:pt idx="163">
                  <c:v>193</c:v>
                </c:pt>
                <c:pt idx="164">
                  <c:v>132</c:v>
                </c:pt>
                <c:pt idx="165">
                  <c:v>131</c:v>
                </c:pt>
                <c:pt idx="166">
                  <c:v>90</c:v>
                </c:pt>
                <c:pt idx="167">
                  <c:v>129</c:v>
                </c:pt>
                <c:pt idx="168">
                  <c:v>185</c:v>
                </c:pt>
                <c:pt idx="169">
                  <c:v>162</c:v>
                </c:pt>
                <c:pt idx="170">
                  <c:v>90</c:v>
                </c:pt>
                <c:pt idx="171">
                  <c:v>163</c:v>
                </c:pt>
                <c:pt idx="172">
                  <c:v>93</c:v>
                </c:pt>
                <c:pt idx="173">
                  <c:v>129</c:v>
                </c:pt>
                <c:pt idx="174">
                  <c:v>127</c:v>
                </c:pt>
                <c:pt idx="175">
                  <c:v>271</c:v>
                </c:pt>
                <c:pt idx="176">
                  <c:v>216</c:v>
                </c:pt>
                <c:pt idx="177">
                  <c:v>131</c:v>
                </c:pt>
                <c:pt idx="178">
                  <c:v>131</c:v>
                </c:pt>
                <c:pt idx="179">
                  <c:v>135</c:v>
                </c:pt>
                <c:pt idx="180">
                  <c:v>108</c:v>
                </c:pt>
                <c:pt idx="181">
                  <c:v>124</c:v>
                </c:pt>
                <c:pt idx="182">
                  <c:v>105</c:v>
                </c:pt>
                <c:pt idx="183">
                  <c:v>272</c:v>
                </c:pt>
                <c:pt idx="184">
                  <c:v>188</c:v>
                </c:pt>
                <c:pt idx="185">
                  <c:v>228</c:v>
                </c:pt>
                <c:pt idx="186">
                  <c:v>108</c:v>
                </c:pt>
                <c:pt idx="187">
                  <c:v>186</c:v>
                </c:pt>
                <c:pt idx="188">
                  <c:v>167</c:v>
                </c:pt>
                <c:pt idx="189">
                  <c:v>83</c:v>
                </c:pt>
                <c:pt idx="190">
                  <c:v>114</c:v>
                </c:pt>
                <c:pt idx="191">
                  <c:v>116</c:v>
                </c:pt>
                <c:pt idx="192">
                  <c:v>62</c:v>
                </c:pt>
                <c:pt idx="193">
                  <c:v>204</c:v>
                </c:pt>
                <c:pt idx="194">
                  <c:v>184</c:v>
                </c:pt>
                <c:pt idx="195">
                  <c:v>91</c:v>
                </c:pt>
                <c:pt idx="196">
                  <c:v>116</c:v>
                </c:pt>
                <c:pt idx="197">
                  <c:v>139</c:v>
                </c:pt>
                <c:pt idx="198">
                  <c:v>235.5</c:v>
                </c:pt>
                <c:pt idx="199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8E-4DF2-B7C8-00478D939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80591"/>
        <c:axId val="1826057903"/>
      </c:scatterChart>
      <c:valAx>
        <c:axId val="179548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26057903"/>
        <c:crosses val="autoZero"/>
        <c:crossBetween val="midCat"/>
      </c:valAx>
      <c:valAx>
        <c:axId val="182605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9548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Influencer</a:t>
            </a:r>
            <a:r>
              <a:rPr lang="en-US"/>
              <a:t>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'05_Regression_Plots'!$H$1</c:f>
              <c:strCache>
                <c:ptCount val="1"/>
                <c:pt idx="0">
                  <c:v>SALES_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818025439127802E-2"/>
                  <c:y val="-0.274544904921619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FF0000"/>
                        </a:solidFill>
                      </a:rPr>
                      <a:t>y = 0.6151x + 132.81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'05_Regression_Plots'!$F$2:$F$201</c:f>
              <c:numCache>
                <c:formatCode>0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65.900000000000006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93.625</c:v>
                </c:pt>
                <c:pt idx="17">
                  <c:v>55.8</c:v>
                </c:pt>
                <c:pt idx="18">
                  <c:v>18.3</c:v>
                </c:pt>
                <c:pt idx="19">
                  <c:v>19.100000000000001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40.799999999999997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38.700000000000003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35.700000000000003</c:v>
                </c:pt>
                <c:pt idx="47">
                  <c:v>18.5</c:v>
                </c:pt>
                <c:pt idx="48">
                  <c:v>49.9</c:v>
                </c:pt>
                <c:pt idx="49">
                  <c:v>36.799999999999997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16.600000000000001</c:v>
                </c:pt>
                <c:pt idx="58">
                  <c:v>37.700000000000003</c:v>
                </c:pt>
                <c:pt idx="59">
                  <c:v>9.3000000000000007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2.2000000000000002</c:v>
                </c:pt>
                <c:pt idx="67">
                  <c:v>10.199999999999999</c:v>
                </c:pt>
                <c:pt idx="68">
                  <c:v>11</c:v>
                </c:pt>
                <c:pt idx="69">
                  <c:v>27.2</c:v>
                </c:pt>
                <c:pt idx="70">
                  <c:v>38.700000000000003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33.799999999999997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73.400000000000006</c:v>
                </c:pt>
                <c:pt idx="89">
                  <c:v>51.4</c:v>
                </c:pt>
                <c:pt idx="90">
                  <c:v>9.3000000000000007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93.625</c:v>
                </c:pt>
                <c:pt idx="102">
                  <c:v>21.4</c:v>
                </c:pt>
                <c:pt idx="103">
                  <c:v>17.899999999999999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9.1999999999999993</c:v>
                </c:pt>
                <c:pt idx="128">
                  <c:v>3.2</c:v>
                </c:pt>
                <c:pt idx="129">
                  <c:v>43.1</c:v>
                </c:pt>
                <c:pt idx="130">
                  <c:v>8.6999999999999993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65.599999999999994</c:v>
                </c:pt>
                <c:pt idx="135">
                  <c:v>8.5</c:v>
                </c:pt>
                <c:pt idx="136">
                  <c:v>9.3000000000000007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75.599999999999994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8.6999999999999993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37.700000000000003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25.9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19.399999999999999</c:v>
                </c:pt>
                <c:pt idx="168">
                  <c:v>57.6</c:v>
                </c:pt>
                <c:pt idx="169">
                  <c:v>6.4</c:v>
                </c:pt>
                <c:pt idx="170">
                  <c:v>18.399999999999999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35.200000000000003</c:v>
                </c:pt>
                <c:pt idx="178">
                  <c:v>23.7</c:v>
                </c:pt>
                <c:pt idx="179">
                  <c:v>17.600000000000001</c:v>
                </c:pt>
                <c:pt idx="180">
                  <c:v>8.3000000000000007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19.600000000000001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8.6999999999999993</c:v>
                </c:pt>
              </c:numCache>
            </c:numRef>
          </c:xVal>
          <c:yVal>
            <c:numRef>
              <c:f>'05_Regression_Plots'!$H$2:$H$1015</c:f>
              <c:numCache>
                <c:formatCode>0</c:formatCode>
                <c:ptCount val="1014"/>
                <c:pt idx="0">
                  <c:v>236</c:v>
                </c:pt>
                <c:pt idx="1">
                  <c:v>122</c:v>
                </c:pt>
                <c:pt idx="2">
                  <c:v>96</c:v>
                </c:pt>
                <c:pt idx="3">
                  <c:v>197</c:v>
                </c:pt>
                <c:pt idx="4">
                  <c:v>137</c:v>
                </c:pt>
                <c:pt idx="5">
                  <c:v>86</c:v>
                </c:pt>
                <c:pt idx="6">
                  <c:v>123</c:v>
                </c:pt>
                <c:pt idx="7">
                  <c:v>152</c:v>
                </c:pt>
                <c:pt idx="8">
                  <c:v>54</c:v>
                </c:pt>
                <c:pt idx="9">
                  <c:v>119</c:v>
                </c:pt>
                <c:pt idx="10">
                  <c:v>95</c:v>
                </c:pt>
                <c:pt idx="11">
                  <c:v>151.5</c:v>
                </c:pt>
                <c:pt idx="12">
                  <c:v>95</c:v>
                </c:pt>
                <c:pt idx="13">
                  <c:v>113</c:v>
                </c:pt>
                <c:pt idx="14">
                  <c:v>191</c:v>
                </c:pt>
                <c:pt idx="15">
                  <c:v>240</c:v>
                </c:pt>
                <c:pt idx="16">
                  <c:v>135</c:v>
                </c:pt>
                <c:pt idx="17">
                  <c:v>258</c:v>
                </c:pt>
                <c:pt idx="18">
                  <c:v>127</c:v>
                </c:pt>
                <c:pt idx="19">
                  <c:v>148</c:v>
                </c:pt>
                <c:pt idx="20">
                  <c:v>188</c:v>
                </c:pt>
                <c:pt idx="21">
                  <c:v>127</c:v>
                </c:pt>
                <c:pt idx="22">
                  <c:v>170.89285714285714</c:v>
                </c:pt>
                <c:pt idx="23">
                  <c:v>175</c:v>
                </c:pt>
                <c:pt idx="24">
                  <c:v>110</c:v>
                </c:pt>
                <c:pt idx="25">
                  <c:v>139</c:v>
                </c:pt>
                <c:pt idx="26">
                  <c:v>167</c:v>
                </c:pt>
                <c:pt idx="27">
                  <c:v>168</c:v>
                </c:pt>
                <c:pt idx="28">
                  <c:v>199</c:v>
                </c:pt>
                <c:pt idx="29">
                  <c:v>123</c:v>
                </c:pt>
                <c:pt idx="30">
                  <c:v>231</c:v>
                </c:pt>
                <c:pt idx="31">
                  <c:v>126</c:v>
                </c:pt>
                <c:pt idx="32">
                  <c:v>112</c:v>
                </c:pt>
                <c:pt idx="33">
                  <c:v>184</c:v>
                </c:pt>
                <c:pt idx="34">
                  <c:v>91.5</c:v>
                </c:pt>
                <c:pt idx="35">
                  <c:v>129</c:v>
                </c:pt>
                <c:pt idx="36">
                  <c:v>256</c:v>
                </c:pt>
                <c:pt idx="37">
                  <c:v>152</c:v>
                </c:pt>
                <c:pt idx="38">
                  <c:v>114</c:v>
                </c:pt>
                <c:pt idx="39">
                  <c:v>230</c:v>
                </c:pt>
                <c:pt idx="40">
                  <c:v>179</c:v>
                </c:pt>
                <c:pt idx="41">
                  <c:v>186</c:v>
                </c:pt>
                <c:pt idx="42">
                  <c:v>226</c:v>
                </c:pt>
                <c:pt idx="43">
                  <c:v>149</c:v>
                </c:pt>
                <c:pt idx="44">
                  <c:v>89</c:v>
                </c:pt>
                <c:pt idx="45">
                  <c:v>165</c:v>
                </c:pt>
                <c:pt idx="46">
                  <c:v>119</c:v>
                </c:pt>
                <c:pt idx="47">
                  <c:v>245</c:v>
                </c:pt>
                <c:pt idx="48">
                  <c:v>149</c:v>
                </c:pt>
                <c:pt idx="49">
                  <c:v>111</c:v>
                </c:pt>
                <c:pt idx="50">
                  <c:v>122</c:v>
                </c:pt>
                <c:pt idx="51">
                  <c:v>112</c:v>
                </c:pt>
                <c:pt idx="52">
                  <c:v>235</c:v>
                </c:pt>
                <c:pt idx="53">
                  <c:v>225</c:v>
                </c:pt>
                <c:pt idx="54">
                  <c:v>220</c:v>
                </c:pt>
                <c:pt idx="55">
                  <c:v>240</c:v>
                </c:pt>
                <c:pt idx="56">
                  <c:v>71</c:v>
                </c:pt>
                <c:pt idx="57">
                  <c:v>133</c:v>
                </c:pt>
                <c:pt idx="58">
                  <c:v>239</c:v>
                </c:pt>
                <c:pt idx="59">
                  <c:v>186</c:v>
                </c:pt>
                <c:pt idx="60">
                  <c:v>83</c:v>
                </c:pt>
                <c:pt idx="61">
                  <c:v>240</c:v>
                </c:pt>
                <c:pt idx="62">
                  <c:v>170</c:v>
                </c:pt>
                <c:pt idx="63">
                  <c:v>291.75</c:v>
                </c:pt>
                <c:pt idx="64">
                  <c:v>187</c:v>
                </c:pt>
                <c:pt idx="65">
                  <c:v>109</c:v>
                </c:pt>
                <c:pt idx="66">
                  <c:v>104</c:v>
                </c:pt>
                <c:pt idx="67">
                  <c:v>135</c:v>
                </c:pt>
                <c:pt idx="68">
                  <c:v>196</c:v>
                </c:pt>
                <c:pt idx="69">
                  <c:v>229</c:v>
                </c:pt>
                <c:pt idx="70">
                  <c:v>196</c:v>
                </c:pt>
                <c:pt idx="71">
                  <c:v>129</c:v>
                </c:pt>
                <c:pt idx="72">
                  <c:v>106</c:v>
                </c:pt>
                <c:pt idx="73">
                  <c:v>117</c:v>
                </c:pt>
                <c:pt idx="74">
                  <c:v>187</c:v>
                </c:pt>
                <c:pt idx="75">
                  <c:v>105</c:v>
                </c:pt>
                <c:pt idx="76">
                  <c:v>83</c:v>
                </c:pt>
                <c:pt idx="77">
                  <c:v>149</c:v>
                </c:pt>
                <c:pt idx="78">
                  <c:v>62</c:v>
                </c:pt>
                <c:pt idx="79">
                  <c:v>120</c:v>
                </c:pt>
                <c:pt idx="80">
                  <c:v>120</c:v>
                </c:pt>
                <c:pt idx="81">
                  <c:v>128</c:v>
                </c:pt>
                <c:pt idx="82">
                  <c:v>128</c:v>
                </c:pt>
                <c:pt idx="83">
                  <c:v>149</c:v>
                </c:pt>
                <c:pt idx="84">
                  <c:v>223</c:v>
                </c:pt>
                <c:pt idx="85">
                  <c:v>159</c:v>
                </c:pt>
                <c:pt idx="86">
                  <c:v>122</c:v>
                </c:pt>
                <c:pt idx="87">
                  <c:v>180</c:v>
                </c:pt>
                <c:pt idx="88">
                  <c:v>147</c:v>
                </c:pt>
                <c:pt idx="89">
                  <c:v>177</c:v>
                </c:pt>
                <c:pt idx="90">
                  <c:v>93</c:v>
                </c:pt>
                <c:pt idx="91">
                  <c:v>74</c:v>
                </c:pt>
                <c:pt idx="92">
                  <c:v>291.75</c:v>
                </c:pt>
                <c:pt idx="93">
                  <c:v>225</c:v>
                </c:pt>
                <c:pt idx="94">
                  <c:v>117</c:v>
                </c:pt>
                <c:pt idx="95">
                  <c:v>175</c:v>
                </c:pt>
                <c:pt idx="96">
                  <c:v>132</c:v>
                </c:pt>
                <c:pt idx="97">
                  <c:v>168</c:v>
                </c:pt>
                <c:pt idx="98">
                  <c:v>257</c:v>
                </c:pt>
                <c:pt idx="99">
                  <c:v>183</c:v>
                </c:pt>
                <c:pt idx="100">
                  <c:v>137</c:v>
                </c:pt>
                <c:pt idx="101">
                  <c:v>254</c:v>
                </c:pt>
                <c:pt idx="102">
                  <c:v>158</c:v>
                </c:pt>
                <c:pt idx="103">
                  <c:v>163</c:v>
                </c:pt>
                <c:pt idx="104">
                  <c:v>208</c:v>
                </c:pt>
                <c:pt idx="105">
                  <c:v>196</c:v>
                </c:pt>
                <c:pt idx="106">
                  <c:v>86</c:v>
                </c:pt>
                <c:pt idx="107">
                  <c:v>104</c:v>
                </c:pt>
                <c:pt idx="108">
                  <c:v>54</c:v>
                </c:pt>
                <c:pt idx="109">
                  <c:v>140.72222222222223</c:v>
                </c:pt>
                <c:pt idx="110">
                  <c:v>150</c:v>
                </c:pt>
                <c:pt idx="111">
                  <c:v>221</c:v>
                </c:pt>
                <c:pt idx="112">
                  <c:v>159</c:v>
                </c:pt>
                <c:pt idx="113">
                  <c:v>167</c:v>
                </c:pt>
                <c:pt idx="114">
                  <c:v>152</c:v>
                </c:pt>
                <c:pt idx="115">
                  <c:v>133</c:v>
                </c:pt>
                <c:pt idx="116">
                  <c:v>129</c:v>
                </c:pt>
                <c:pt idx="117">
                  <c:v>108</c:v>
                </c:pt>
                <c:pt idx="118">
                  <c:v>172</c:v>
                </c:pt>
                <c:pt idx="119">
                  <c:v>77</c:v>
                </c:pt>
                <c:pt idx="120">
                  <c:v>163</c:v>
                </c:pt>
                <c:pt idx="121">
                  <c:v>81</c:v>
                </c:pt>
                <c:pt idx="122">
                  <c:v>125</c:v>
                </c:pt>
                <c:pt idx="123">
                  <c:v>171</c:v>
                </c:pt>
                <c:pt idx="124">
                  <c:v>201</c:v>
                </c:pt>
                <c:pt idx="125">
                  <c:v>126</c:v>
                </c:pt>
                <c:pt idx="126">
                  <c:v>78</c:v>
                </c:pt>
                <c:pt idx="127">
                  <c:v>92</c:v>
                </c:pt>
                <c:pt idx="128">
                  <c:v>264</c:v>
                </c:pt>
                <c:pt idx="129">
                  <c:v>116</c:v>
                </c:pt>
                <c:pt idx="130">
                  <c:v>28</c:v>
                </c:pt>
                <c:pt idx="131">
                  <c:v>147</c:v>
                </c:pt>
                <c:pt idx="132">
                  <c:v>71</c:v>
                </c:pt>
                <c:pt idx="133">
                  <c:v>164.45535714285714</c:v>
                </c:pt>
                <c:pt idx="134">
                  <c:v>124</c:v>
                </c:pt>
                <c:pt idx="135">
                  <c:v>124</c:v>
                </c:pt>
                <c:pt idx="136">
                  <c:v>98</c:v>
                </c:pt>
                <c:pt idx="137">
                  <c:v>210</c:v>
                </c:pt>
                <c:pt idx="138">
                  <c:v>109</c:v>
                </c:pt>
                <c:pt idx="139">
                  <c:v>227</c:v>
                </c:pt>
                <c:pt idx="140">
                  <c:v>113</c:v>
                </c:pt>
                <c:pt idx="141">
                  <c:v>207</c:v>
                </c:pt>
                <c:pt idx="142">
                  <c:v>218</c:v>
                </c:pt>
                <c:pt idx="143">
                  <c:v>144.14285714285714</c:v>
                </c:pt>
                <c:pt idx="144">
                  <c:v>127</c:v>
                </c:pt>
                <c:pt idx="145">
                  <c:v>123</c:v>
                </c:pt>
                <c:pt idx="146">
                  <c:v>142</c:v>
                </c:pt>
                <c:pt idx="147">
                  <c:v>265</c:v>
                </c:pt>
                <c:pt idx="148">
                  <c:v>110</c:v>
                </c:pt>
                <c:pt idx="149">
                  <c:v>118</c:v>
                </c:pt>
                <c:pt idx="150">
                  <c:v>166</c:v>
                </c:pt>
                <c:pt idx="151">
                  <c:v>125</c:v>
                </c:pt>
                <c:pt idx="152">
                  <c:v>169</c:v>
                </c:pt>
                <c:pt idx="153">
                  <c:v>208</c:v>
                </c:pt>
                <c:pt idx="154">
                  <c:v>166</c:v>
                </c:pt>
                <c:pt idx="155">
                  <c:v>35</c:v>
                </c:pt>
                <c:pt idx="156">
                  <c:v>173</c:v>
                </c:pt>
                <c:pt idx="157">
                  <c:v>111</c:v>
                </c:pt>
                <c:pt idx="158">
                  <c:v>85</c:v>
                </c:pt>
                <c:pt idx="159">
                  <c:v>138</c:v>
                </c:pt>
                <c:pt idx="160">
                  <c:v>159</c:v>
                </c:pt>
                <c:pt idx="161">
                  <c:v>151</c:v>
                </c:pt>
                <c:pt idx="162">
                  <c:v>168</c:v>
                </c:pt>
                <c:pt idx="163">
                  <c:v>193</c:v>
                </c:pt>
                <c:pt idx="164">
                  <c:v>132</c:v>
                </c:pt>
                <c:pt idx="165">
                  <c:v>131</c:v>
                </c:pt>
                <c:pt idx="166">
                  <c:v>90</c:v>
                </c:pt>
                <c:pt idx="167">
                  <c:v>129</c:v>
                </c:pt>
                <c:pt idx="168">
                  <c:v>185</c:v>
                </c:pt>
                <c:pt idx="169">
                  <c:v>162</c:v>
                </c:pt>
                <c:pt idx="170">
                  <c:v>90</c:v>
                </c:pt>
                <c:pt idx="171">
                  <c:v>163</c:v>
                </c:pt>
                <c:pt idx="172">
                  <c:v>93</c:v>
                </c:pt>
                <c:pt idx="173">
                  <c:v>129</c:v>
                </c:pt>
                <c:pt idx="174">
                  <c:v>127</c:v>
                </c:pt>
                <c:pt idx="175">
                  <c:v>271</c:v>
                </c:pt>
                <c:pt idx="176">
                  <c:v>216</c:v>
                </c:pt>
                <c:pt idx="177">
                  <c:v>131</c:v>
                </c:pt>
                <c:pt idx="178">
                  <c:v>131</c:v>
                </c:pt>
                <c:pt idx="179">
                  <c:v>135</c:v>
                </c:pt>
                <c:pt idx="180">
                  <c:v>108</c:v>
                </c:pt>
                <c:pt idx="181">
                  <c:v>124</c:v>
                </c:pt>
                <c:pt idx="182">
                  <c:v>105</c:v>
                </c:pt>
                <c:pt idx="183">
                  <c:v>272</c:v>
                </c:pt>
                <c:pt idx="184">
                  <c:v>188</c:v>
                </c:pt>
                <c:pt idx="185">
                  <c:v>228</c:v>
                </c:pt>
                <c:pt idx="186">
                  <c:v>108</c:v>
                </c:pt>
                <c:pt idx="187">
                  <c:v>186</c:v>
                </c:pt>
                <c:pt idx="188">
                  <c:v>167</c:v>
                </c:pt>
                <c:pt idx="189">
                  <c:v>83</c:v>
                </c:pt>
                <c:pt idx="190">
                  <c:v>114</c:v>
                </c:pt>
                <c:pt idx="191">
                  <c:v>116</c:v>
                </c:pt>
                <c:pt idx="192">
                  <c:v>62</c:v>
                </c:pt>
                <c:pt idx="193">
                  <c:v>204</c:v>
                </c:pt>
                <c:pt idx="194">
                  <c:v>184</c:v>
                </c:pt>
                <c:pt idx="195">
                  <c:v>91</c:v>
                </c:pt>
                <c:pt idx="196">
                  <c:v>116</c:v>
                </c:pt>
                <c:pt idx="197">
                  <c:v>139</c:v>
                </c:pt>
                <c:pt idx="198">
                  <c:v>235.5</c:v>
                </c:pt>
                <c:pt idx="199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5A-44EB-AD2F-0DBB11D6B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80591"/>
        <c:axId val="1826057903"/>
      </c:scatterChart>
      <c:valAx>
        <c:axId val="179548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26057903"/>
        <c:crosses val="autoZero"/>
        <c:crossBetween val="midCat"/>
      </c:valAx>
      <c:valAx>
        <c:axId val="182605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9548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Meta</a:t>
            </a:r>
            <a:r>
              <a:rPr lang="en-US"/>
              <a:t>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'05_Regression_Plots'!$H$1</c:f>
              <c:strCache>
                <c:ptCount val="1"/>
                <c:pt idx="0">
                  <c:v>SALES_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00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707653546508673"/>
                  <c:y val="-9.16914700404753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rgbClr val="FF0000"/>
                        </a:solidFill>
                      </a:rPr>
                      <a:t>y = 1.6992x + 110.9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'05_Regression_Plots'!$E$2:$E$201</c:f>
              <c:numCache>
                <c:formatCode>0</c:formatCode>
                <c:ptCount val="200"/>
                <c:pt idx="0">
                  <c:v>37.799999999999997</c:v>
                </c:pt>
                <c:pt idx="1">
                  <c:v>39.299999999999997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32.799999999999997</c:v>
                </c:pt>
                <c:pt idx="7">
                  <c:v>19.600000000000001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76.949999999999989</c:v>
                </c:pt>
                <c:pt idx="22">
                  <c:v>15.9</c:v>
                </c:pt>
                <c:pt idx="23">
                  <c:v>16.899999999999999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17.399999999999999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4.0999999999999996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37.700000000000003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9.3000000000000007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0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4.0999999999999996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18.399999999999999</c:v>
                </c:pt>
                <c:pt idx="86">
                  <c:v>27.5</c:v>
                </c:pt>
                <c:pt idx="87">
                  <c:v>40.6</c:v>
                </c:pt>
                <c:pt idx="88">
                  <c:v>76.949999999999989</c:v>
                </c:pt>
                <c:pt idx="89">
                  <c:v>47.8</c:v>
                </c:pt>
                <c:pt idx="90">
                  <c:v>4.9000000000000004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36.299999999999997</c:v>
                </c:pt>
                <c:pt idx="102">
                  <c:v>10.1</c:v>
                </c:pt>
                <c:pt idx="103">
                  <c:v>17.2</c:v>
                </c:pt>
                <c:pt idx="104">
                  <c:v>34.299999999999997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8.1999999999999993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32.299999999999997</c:v>
                </c:pt>
                <c:pt idx="125">
                  <c:v>11.8</c:v>
                </c:pt>
                <c:pt idx="126">
                  <c:v>38.9</c:v>
                </c:pt>
                <c:pt idx="127">
                  <c:v>23.450000000000003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33.200000000000003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40.299999999999997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39.700000000000003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18.399999999999999</c:v>
                </c:pt>
                <c:pt idx="160">
                  <c:v>18.100000000000001</c:v>
                </c:pt>
                <c:pt idx="161">
                  <c:v>35.799999999999997</c:v>
                </c:pt>
                <c:pt idx="162">
                  <c:v>23.450000000000003</c:v>
                </c:pt>
                <c:pt idx="163">
                  <c:v>36.799999999999997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20.100000000000001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2.2999999999999998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4.0999999999999996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4.9000000000000004</c:v>
                </c:pt>
                <c:pt idx="197">
                  <c:v>9.3000000000000007</c:v>
                </c:pt>
                <c:pt idx="198">
                  <c:v>42</c:v>
                </c:pt>
                <c:pt idx="199">
                  <c:v>8.6</c:v>
                </c:pt>
              </c:numCache>
            </c:numRef>
          </c:xVal>
          <c:yVal>
            <c:numRef>
              <c:f>'05_Regression_Plots'!$H$2:$H$1015</c:f>
              <c:numCache>
                <c:formatCode>0</c:formatCode>
                <c:ptCount val="1014"/>
                <c:pt idx="0">
                  <c:v>236</c:v>
                </c:pt>
                <c:pt idx="1">
                  <c:v>122</c:v>
                </c:pt>
                <c:pt idx="2">
                  <c:v>96</c:v>
                </c:pt>
                <c:pt idx="3">
                  <c:v>197</c:v>
                </c:pt>
                <c:pt idx="4">
                  <c:v>137</c:v>
                </c:pt>
                <c:pt idx="5">
                  <c:v>86</c:v>
                </c:pt>
                <c:pt idx="6">
                  <c:v>123</c:v>
                </c:pt>
                <c:pt idx="7">
                  <c:v>152</c:v>
                </c:pt>
                <c:pt idx="8">
                  <c:v>54</c:v>
                </c:pt>
                <c:pt idx="9">
                  <c:v>119</c:v>
                </c:pt>
                <c:pt idx="10">
                  <c:v>95</c:v>
                </c:pt>
                <c:pt idx="11">
                  <c:v>151.5</c:v>
                </c:pt>
                <c:pt idx="12">
                  <c:v>95</c:v>
                </c:pt>
                <c:pt idx="13">
                  <c:v>113</c:v>
                </c:pt>
                <c:pt idx="14">
                  <c:v>191</c:v>
                </c:pt>
                <c:pt idx="15">
                  <c:v>240</c:v>
                </c:pt>
                <c:pt idx="16">
                  <c:v>135</c:v>
                </c:pt>
                <c:pt idx="17">
                  <c:v>258</c:v>
                </c:pt>
                <c:pt idx="18">
                  <c:v>127</c:v>
                </c:pt>
                <c:pt idx="19">
                  <c:v>148</c:v>
                </c:pt>
                <c:pt idx="20">
                  <c:v>188</c:v>
                </c:pt>
                <c:pt idx="21">
                  <c:v>127</c:v>
                </c:pt>
                <c:pt idx="22">
                  <c:v>170.89285714285714</c:v>
                </c:pt>
                <c:pt idx="23">
                  <c:v>175</c:v>
                </c:pt>
                <c:pt idx="24">
                  <c:v>110</c:v>
                </c:pt>
                <c:pt idx="25">
                  <c:v>139</c:v>
                </c:pt>
                <c:pt idx="26">
                  <c:v>167</c:v>
                </c:pt>
                <c:pt idx="27">
                  <c:v>168</c:v>
                </c:pt>
                <c:pt idx="28">
                  <c:v>199</c:v>
                </c:pt>
                <c:pt idx="29">
                  <c:v>123</c:v>
                </c:pt>
                <c:pt idx="30">
                  <c:v>231</c:v>
                </c:pt>
                <c:pt idx="31">
                  <c:v>126</c:v>
                </c:pt>
                <c:pt idx="32">
                  <c:v>112</c:v>
                </c:pt>
                <c:pt idx="33">
                  <c:v>184</c:v>
                </c:pt>
                <c:pt idx="34">
                  <c:v>91.5</c:v>
                </c:pt>
                <c:pt idx="35">
                  <c:v>129</c:v>
                </c:pt>
                <c:pt idx="36">
                  <c:v>256</c:v>
                </c:pt>
                <c:pt idx="37">
                  <c:v>152</c:v>
                </c:pt>
                <c:pt idx="38">
                  <c:v>114</c:v>
                </c:pt>
                <c:pt idx="39">
                  <c:v>230</c:v>
                </c:pt>
                <c:pt idx="40">
                  <c:v>179</c:v>
                </c:pt>
                <c:pt idx="41">
                  <c:v>186</c:v>
                </c:pt>
                <c:pt idx="42">
                  <c:v>226</c:v>
                </c:pt>
                <c:pt idx="43">
                  <c:v>149</c:v>
                </c:pt>
                <c:pt idx="44">
                  <c:v>89</c:v>
                </c:pt>
                <c:pt idx="45">
                  <c:v>165</c:v>
                </c:pt>
                <c:pt idx="46">
                  <c:v>119</c:v>
                </c:pt>
                <c:pt idx="47">
                  <c:v>245</c:v>
                </c:pt>
                <c:pt idx="48">
                  <c:v>149</c:v>
                </c:pt>
                <c:pt idx="49">
                  <c:v>111</c:v>
                </c:pt>
                <c:pt idx="50">
                  <c:v>122</c:v>
                </c:pt>
                <c:pt idx="51">
                  <c:v>112</c:v>
                </c:pt>
                <c:pt idx="52">
                  <c:v>235</c:v>
                </c:pt>
                <c:pt idx="53">
                  <c:v>225</c:v>
                </c:pt>
                <c:pt idx="54">
                  <c:v>220</c:v>
                </c:pt>
                <c:pt idx="55">
                  <c:v>240</c:v>
                </c:pt>
                <c:pt idx="56">
                  <c:v>71</c:v>
                </c:pt>
                <c:pt idx="57">
                  <c:v>133</c:v>
                </c:pt>
                <c:pt idx="58">
                  <c:v>239</c:v>
                </c:pt>
                <c:pt idx="59">
                  <c:v>186</c:v>
                </c:pt>
                <c:pt idx="60">
                  <c:v>83</c:v>
                </c:pt>
                <c:pt idx="61">
                  <c:v>240</c:v>
                </c:pt>
                <c:pt idx="62">
                  <c:v>170</c:v>
                </c:pt>
                <c:pt idx="63">
                  <c:v>291.75</c:v>
                </c:pt>
                <c:pt idx="64">
                  <c:v>187</c:v>
                </c:pt>
                <c:pt idx="65">
                  <c:v>109</c:v>
                </c:pt>
                <c:pt idx="66">
                  <c:v>104</c:v>
                </c:pt>
                <c:pt idx="67">
                  <c:v>135</c:v>
                </c:pt>
                <c:pt idx="68">
                  <c:v>196</c:v>
                </c:pt>
                <c:pt idx="69">
                  <c:v>229</c:v>
                </c:pt>
                <c:pt idx="70">
                  <c:v>196</c:v>
                </c:pt>
                <c:pt idx="71">
                  <c:v>129</c:v>
                </c:pt>
                <c:pt idx="72">
                  <c:v>106</c:v>
                </c:pt>
                <c:pt idx="73">
                  <c:v>117</c:v>
                </c:pt>
                <c:pt idx="74">
                  <c:v>187</c:v>
                </c:pt>
                <c:pt idx="75">
                  <c:v>105</c:v>
                </c:pt>
                <c:pt idx="76">
                  <c:v>83</c:v>
                </c:pt>
                <c:pt idx="77">
                  <c:v>149</c:v>
                </c:pt>
                <c:pt idx="78">
                  <c:v>62</c:v>
                </c:pt>
                <c:pt idx="79">
                  <c:v>120</c:v>
                </c:pt>
                <c:pt idx="80">
                  <c:v>120</c:v>
                </c:pt>
                <c:pt idx="81">
                  <c:v>128</c:v>
                </c:pt>
                <c:pt idx="82">
                  <c:v>128</c:v>
                </c:pt>
                <c:pt idx="83">
                  <c:v>149</c:v>
                </c:pt>
                <c:pt idx="84">
                  <c:v>223</c:v>
                </c:pt>
                <c:pt idx="85">
                  <c:v>159</c:v>
                </c:pt>
                <c:pt idx="86">
                  <c:v>122</c:v>
                </c:pt>
                <c:pt idx="87">
                  <c:v>180</c:v>
                </c:pt>
                <c:pt idx="88">
                  <c:v>147</c:v>
                </c:pt>
                <c:pt idx="89">
                  <c:v>177</c:v>
                </c:pt>
                <c:pt idx="90">
                  <c:v>93</c:v>
                </c:pt>
                <c:pt idx="91">
                  <c:v>74</c:v>
                </c:pt>
                <c:pt idx="92">
                  <c:v>291.75</c:v>
                </c:pt>
                <c:pt idx="93">
                  <c:v>225</c:v>
                </c:pt>
                <c:pt idx="94">
                  <c:v>117</c:v>
                </c:pt>
                <c:pt idx="95">
                  <c:v>175</c:v>
                </c:pt>
                <c:pt idx="96">
                  <c:v>132</c:v>
                </c:pt>
                <c:pt idx="97">
                  <c:v>168</c:v>
                </c:pt>
                <c:pt idx="98">
                  <c:v>257</c:v>
                </c:pt>
                <c:pt idx="99">
                  <c:v>183</c:v>
                </c:pt>
                <c:pt idx="100">
                  <c:v>137</c:v>
                </c:pt>
                <c:pt idx="101">
                  <c:v>254</c:v>
                </c:pt>
                <c:pt idx="102">
                  <c:v>158</c:v>
                </c:pt>
                <c:pt idx="103">
                  <c:v>163</c:v>
                </c:pt>
                <c:pt idx="104">
                  <c:v>208</c:v>
                </c:pt>
                <c:pt idx="105">
                  <c:v>196</c:v>
                </c:pt>
                <c:pt idx="106">
                  <c:v>86</c:v>
                </c:pt>
                <c:pt idx="107">
                  <c:v>104</c:v>
                </c:pt>
                <c:pt idx="108">
                  <c:v>54</c:v>
                </c:pt>
                <c:pt idx="109">
                  <c:v>140.72222222222223</c:v>
                </c:pt>
                <c:pt idx="110">
                  <c:v>150</c:v>
                </c:pt>
                <c:pt idx="111">
                  <c:v>221</c:v>
                </c:pt>
                <c:pt idx="112">
                  <c:v>159</c:v>
                </c:pt>
                <c:pt idx="113">
                  <c:v>167</c:v>
                </c:pt>
                <c:pt idx="114">
                  <c:v>152</c:v>
                </c:pt>
                <c:pt idx="115">
                  <c:v>133</c:v>
                </c:pt>
                <c:pt idx="116">
                  <c:v>129</c:v>
                </c:pt>
                <c:pt idx="117">
                  <c:v>108</c:v>
                </c:pt>
                <c:pt idx="118">
                  <c:v>172</c:v>
                </c:pt>
                <c:pt idx="119">
                  <c:v>77</c:v>
                </c:pt>
                <c:pt idx="120">
                  <c:v>163</c:v>
                </c:pt>
                <c:pt idx="121">
                  <c:v>81</c:v>
                </c:pt>
                <c:pt idx="122">
                  <c:v>125</c:v>
                </c:pt>
                <c:pt idx="123">
                  <c:v>171</c:v>
                </c:pt>
                <c:pt idx="124">
                  <c:v>201</c:v>
                </c:pt>
                <c:pt idx="125">
                  <c:v>126</c:v>
                </c:pt>
                <c:pt idx="126">
                  <c:v>78</c:v>
                </c:pt>
                <c:pt idx="127">
                  <c:v>92</c:v>
                </c:pt>
                <c:pt idx="128">
                  <c:v>264</c:v>
                </c:pt>
                <c:pt idx="129">
                  <c:v>116</c:v>
                </c:pt>
                <c:pt idx="130">
                  <c:v>28</c:v>
                </c:pt>
                <c:pt idx="131">
                  <c:v>147</c:v>
                </c:pt>
                <c:pt idx="132">
                  <c:v>71</c:v>
                </c:pt>
                <c:pt idx="133">
                  <c:v>164.45535714285714</c:v>
                </c:pt>
                <c:pt idx="134">
                  <c:v>124</c:v>
                </c:pt>
                <c:pt idx="135">
                  <c:v>124</c:v>
                </c:pt>
                <c:pt idx="136">
                  <c:v>98</c:v>
                </c:pt>
                <c:pt idx="137">
                  <c:v>210</c:v>
                </c:pt>
                <c:pt idx="138">
                  <c:v>109</c:v>
                </c:pt>
                <c:pt idx="139">
                  <c:v>227</c:v>
                </c:pt>
                <c:pt idx="140">
                  <c:v>113</c:v>
                </c:pt>
                <c:pt idx="141">
                  <c:v>207</c:v>
                </c:pt>
                <c:pt idx="142">
                  <c:v>218</c:v>
                </c:pt>
                <c:pt idx="143">
                  <c:v>144.14285714285714</c:v>
                </c:pt>
                <c:pt idx="144">
                  <c:v>127</c:v>
                </c:pt>
                <c:pt idx="145">
                  <c:v>123</c:v>
                </c:pt>
                <c:pt idx="146">
                  <c:v>142</c:v>
                </c:pt>
                <c:pt idx="147">
                  <c:v>265</c:v>
                </c:pt>
                <c:pt idx="148">
                  <c:v>110</c:v>
                </c:pt>
                <c:pt idx="149">
                  <c:v>118</c:v>
                </c:pt>
                <c:pt idx="150">
                  <c:v>166</c:v>
                </c:pt>
                <c:pt idx="151">
                  <c:v>125</c:v>
                </c:pt>
                <c:pt idx="152">
                  <c:v>169</c:v>
                </c:pt>
                <c:pt idx="153">
                  <c:v>208</c:v>
                </c:pt>
                <c:pt idx="154">
                  <c:v>166</c:v>
                </c:pt>
                <c:pt idx="155">
                  <c:v>35</c:v>
                </c:pt>
                <c:pt idx="156">
                  <c:v>173</c:v>
                </c:pt>
                <c:pt idx="157">
                  <c:v>111</c:v>
                </c:pt>
                <c:pt idx="158">
                  <c:v>85</c:v>
                </c:pt>
                <c:pt idx="159">
                  <c:v>138</c:v>
                </c:pt>
                <c:pt idx="160">
                  <c:v>159</c:v>
                </c:pt>
                <c:pt idx="161">
                  <c:v>151</c:v>
                </c:pt>
                <c:pt idx="162">
                  <c:v>168</c:v>
                </c:pt>
                <c:pt idx="163">
                  <c:v>193</c:v>
                </c:pt>
                <c:pt idx="164">
                  <c:v>132</c:v>
                </c:pt>
                <c:pt idx="165">
                  <c:v>131</c:v>
                </c:pt>
                <c:pt idx="166">
                  <c:v>90</c:v>
                </c:pt>
                <c:pt idx="167">
                  <c:v>129</c:v>
                </c:pt>
                <c:pt idx="168">
                  <c:v>185</c:v>
                </c:pt>
                <c:pt idx="169">
                  <c:v>162</c:v>
                </c:pt>
                <c:pt idx="170">
                  <c:v>90</c:v>
                </c:pt>
                <c:pt idx="171">
                  <c:v>163</c:v>
                </c:pt>
                <c:pt idx="172">
                  <c:v>93</c:v>
                </c:pt>
                <c:pt idx="173">
                  <c:v>129</c:v>
                </c:pt>
                <c:pt idx="174">
                  <c:v>127</c:v>
                </c:pt>
                <c:pt idx="175">
                  <c:v>271</c:v>
                </c:pt>
                <c:pt idx="176">
                  <c:v>216</c:v>
                </c:pt>
                <c:pt idx="177">
                  <c:v>131</c:v>
                </c:pt>
                <c:pt idx="178">
                  <c:v>131</c:v>
                </c:pt>
                <c:pt idx="179">
                  <c:v>135</c:v>
                </c:pt>
                <c:pt idx="180">
                  <c:v>108</c:v>
                </c:pt>
                <c:pt idx="181">
                  <c:v>124</c:v>
                </c:pt>
                <c:pt idx="182">
                  <c:v>105</c:v>
                </c:pt>
                <c:pt idx="183">
                  <c:v>272</c:v>
                </c:pt>
                <c:pt idx="184">
                  <c:v>188</c:v>
                </c:pt>
                <c:pt idx="185">
                  <c:v>228</c:v>
                </c:pt>
                <c:pt idx="186">
                  <c:v>108</c:v>
                </c:pt>
                <c:pt idx="187">
                  <c:v>186</c:v>
                </c:pt>
                <c:pt idx="188">
                  <c:v>167</c:v>
                </c:pt>
                <c:pt idx="189">
                  <c:v>83</c:v>
                </c:pt>
                <c:pt idx="190">
                  <c:v>114</c:v>
                </c:pt>
                <c:pt idx="191">
                  <c:v>116</c:v>
                </c:pt>
                <c:pt idx="192">
                  <c:v>62</c:v>
                </c:pt>
                <c:pt idx="193">
                  <c:v>204</c:v>
                </c:pt>
                <c:pt idx="194">
                  <c:v>184</c:v>
                </c:pt>
                <c:pt idx="195">
                  <c:v>91</c:v>
                </c:pt>
                <c:pt idx="196">
                  <c:v>116</c:v>
                </c:pt>
                <c:pt idx="197">
                  <c:v>139</c:v>
                </c:pt>
                <c:pt idx="198">
                  <c:v>235.5</c:v>
                </c:pt>
                <c:pt idx="199">
                  <c:v>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AB-46C2-9D0F-2D3E1405E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480591"/>
        <c:axId val="1826057903"/>
      </c:scatterChart>
      <c:valAx>
        <c:axId val="179548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26057903"/>
        <c:crosses val="autoZero"/>
        <c:crossBetween val="midCat"/>
      </c:valAx>
      <c:valAx>
        <c:axId val="182605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79548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013A9ABF-06FE-4179-B0E5-D9931B834DB3}">
          <cx:tx>
            <cx:txData>
              <cx:f>_xlchart.v1.0</cx:f>
              <cx:v>Influencer_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7253FD1A-892E-41F7-B151-E710AB711690}">
          <cx:tx>
            <cx:txData>
              <cx:f>_xlchart.v1.2</cx:f>
              <cx:v>TIKTOK_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boxWhisker" uniqueId="{CCF0333D-8C0D-49BA-B762-B5AD7846EBB9}">
          <cx:tx>
            <cx:txData>
              <cx:f>_xlchart.v1.8</cx:f>
              <cx:v>SALES_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boxWhisker" uniqueId="{9BEE2873-EFCA-4982-96C4-F268CB245D3F}">
          <cx:tx>
            <cx:txData>
              <cx:f>_xlchart.v1.6</cx:f>
              <cx:v>Meta_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boxWhisker" uniqueId="{A40827CD-5723-4C00-B0AD-16F5CC98B936}">
          <cx:tx>
            <cx:txData>
              <cx:f>_xlchart.v1.4</cx:f>
              <cx:v>GoogleAds_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708421</xdr:colOff>
      <xdr:row>33</xdr:row>
      <xdr:rowOff>17860</xdr:rowOff>
    </xdr:from>
    <xdr:to>
      <xdr:col>18</xdr:col>
      <xdr:colOff>117740</xdr:colOff>
      <xdr:row>46</xdr:row>
      <xdr:rowOff>181372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E010728-42E1-4FDD-A128-E3C74398D1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43471" y="7152085"/>
              <a:ext cx="4567107" cy="2763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381000</xdr:colOff>
      <xdr:row>33</xdr:row>
      <xdr:rowOff>11907</xdr:rowOff>
    </xdr:from>
    <xdr:to>
      <xdr:col>24</xdr:col>
      <xdr:colOff>16536</xdr:colOff>
      <xdr:row>46</xdr:row>
      <xdr:rowOff>175419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DDF1FC8-F08E-4239-ABDE-97A6734F19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73838" y="7146132"/>
              <a:ext cx="4569486" cy="2763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173724</xdr:colOff>
      <xdr:row>25</xdr:row>
      <xdr:rowOff>63862</xdr:rowOff>
    </xdr:from>
    <xdr:to>
      <xdr:col>29</xdr:col>
      <xdr:colOff>744443</xdr:colOff>
      <xdr:row>39</xdr:row>
      <xdr:rowOff>28214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BE8CBE1-6C8D-487C-A700-5930D95440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00512" y="5597887"/>
              <a:ext cx="4571219" cy="27647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386954</xdr:colOff>
      <xdr:row>17</xdr:row>
      <xdr:rowOff>154781</xdr:rowOff>
    </xdr:from>
    <xdr:to>
      <xdr:col>24</xdr:col>
      <xdr:colOff>22490</xdr:colOff>
      <xdr:row>32</xdr:row>
      <xdr:rowOff>20636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218DCE4-2D72-4619-99B0-8C43B47EF0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79792" y="4088606"/>
              <a:ext cx="4569486" cy="2866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720327</xdr:colOff>
      <xdr:row>17</xdr:row>
      <xdr:rowOff>160735</xdr:rowOff>
    </xdr:from>
    <xdr:to>
      <xdr:col>18</xdr:col>
      <xdr:colOff>129646</xdr:colOff>
      <xdr:row>31</xdr:row>
      <xdr:rowOff>160734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FEA3F3D-8998-40C9-9EF0-4930BA5CA5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55377" y="4094560"/>
              <a:ext cx="4567107" cy="2800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797322</xdr:colOff>
      <xdr:row>1</xdr:row>
      <xdr:rowOff>11906</xdr:rowOff>
    </xdr:from>
    <xdr:to>
      <xdr:col>16</xdr:col>
      <xdr:colOff>581025</xdr:colOff>
      <xdr:row>15</xdr:row>
      <xdr:rowOff>151606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264DAB-D386-44B2-9ACB-A1A1B06CD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24606</xdr:colOff>
      <xdr:row>18</xdr:row>
      <xdr:rowOff>11510</xdr:rowOff>
    </xdr:from>
    <xdr:to>
      <xdr:col>16</xdr:col>
      <xdr:colOff>561578</xdr:colOff>
      <xdr:row>36</xdr:row>
      <xdr:rowOff>67866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8BBD63-BC75-48BA-BFA0-B51952D30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16</xdr:col>
      <xdr:colOff>536972</xdr:colOff>
      <xdr:row>56</xdr:row>
      <xdr:rowOff>56357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DCA6D8-7988-4678-B981-08EE47D4B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58</xdr:row>
      <xdr:rowOff>0</xdr:rowOff>
    </xdr:from>
    <xdr:to>
      <xdr:col>16</xdr:col>
      <xdr:colOff>536972</xdr:colOff>
      <xdr:row>76</xdr:row>
      <xdr:rowOff>56356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AAFF73-EDA5-454E-8836-B0DDD09F8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üliz samgar" id="{28223B6B-9F49-45F0-89D5-1D9700C9CE4F}" userId="güliz samga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66.572767361111" createdVersion="8" refreshedVersion="8" minRefreshableVersion="3" recordCount="200" xr:uid="{6687515D-CC08-5445-9EB0-5BB1CB5E4293}">
  <cacheSource type="worksheet">
    <worksheetSource ref="A1:H201" sheet="01_Missing_Values"/>
  </cacheSource>
  <cacheFields count="8">
    <cacheField name="ID" numFmtId="0">
      <sharedItems containsSemiMixedTypes="0" containsString="0" containsNumber="1" containsInteger="1" minValue="1" maxValue="200"/>
    </cacheField>
    <cacheField name="WEEKDAY" numFmtId="0">
      <sharedItems containsSemiMixedTypes="0" containsString="0" containsNumber="1" containsInteger="1" minValue="1" maxValue="7" count="7">
        <n v="6"/>
        <n v="7"/>
        <n v="1"/>
        <n v="2"/>
        <n v="3"/>
        <n v="4"/>
        <n v="5"/>
      </sharedItems>
    </cacheField>
    <cacheField name="DAYS" numFmtId="14">
      <sharedItems containsSemiMixedTypes="0" containsNonDate="0" containsDate="1" containsString="0" minDate="2023-03-11T00:00:00" maxDate="2023-09-27T00:00:00"/>
    </cacheField>
    <cacheField name="GoogleAds" numFmtId="165">
      <sharedItems containsString="0" containsBlank="1" containsNumber="1" minValue="3.46" maxValue="196.98"/>
    </cacheField>
    <cacheField name="Meta" numFmtId="165">
      <sharedItems containsString="0" containsBlank="1" containsNumber="1" minValue="0" maxValue="225.5"/>
    </cacheField>
    <cacheField name="Influencer" numFmtId="165">
      <sharedItems containsString="0" containsBlank="1" containsNumber="1" minValue="0.3" maxValue="93.625"/>
    </cacheField>
    <cacheField name="TIKTOK" numFmtId="165">
      <sharedItems containsString="0" containsBlank="1" containsNumber="1" minValue="0.12000000000000455" maxValue="111"/>
    </cacheField>
    <cacheField name="SALES" numFmtId="165">
      <sharedItems containsString="0" containsBlank="1" containsNumber="1" minValue="28" maxValue="8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d v="2023-03-11T00:00:00"/>
    <n v="56.02"/>
    <n v="37.799999999999997"/>
    <n v="69.2"/>
    <n v="14.229999999999993"/>
    <n v="236"/>
  </r>
  <r>
    <n v="2"/>
    <x v="1"/>
    <d v="2023-03-12T00:00:00"/>
    <n v="10.9"/>
    <n v="39.299999999999997"/>
    <n v="45.1"/>
    <n v="6.0599999999999952"/>
    <n v="122"/>
  </r>
  <r>
    <n v="3"/>
    <x v="2"/>
    <d v="2023-03-13T00:00:00"/>
    <n v="12.44"/>
    <n v="45.9"/>
    <n v="69.3"/>
    <n v="16.95"/>
    <n v="96"/>
  </r>
  <r>
    <n v="4"/>
    <x v="3"/>
    <d v="2023-03-14T00:00:00"/>
    <n v="31.3"/>
    <n v="41.3"/>
    <n v="58.5"/>
    <n v="12.399999999999995"/>
    <n v="197"/>
  </r>
  <r>
    <n v="5"/>
    <x v="4"/>
    <d v="2023-03-15T00:00:00"/>
    <n v="46.160000000000004"/>
    <n v="10.8"/>
    <n v="58.4"/>
    <n v="0.12000000000000455"/>
    <n v="137"/>
  </r>
  <r>
    <n v="6"/>
    <x v="5"/>
    <d v="2023-03-16T00:00:00"/>
    <n v="6.74"/>
    <n v="48.9"/>
    <n v="75"/>
    <n v="15.32"/>
    <n v="86"/>
  </r>
  <r>
    <n v="7"/>
    <x v="6"/>
    <d v="2023-03-17T00:00:00"/>
    <n v="13.5"/>
    <n v="32.799999999999997"/>
    <n v="23.5"/>
    <n v="12.749999999999998"/>
    <n v="123"/>
  </r>
  <r>
    <n v="8"/>
    <x v="0"/>
    <d v="2023-03-18T00:00:00"/>
    <n v="31.04"/>
    <n v="19.600000000000001"/>
    <n v="11.6"/>
    <n v="17.18"/>
    <n v="152"/>
  </r>
  <r>
    <n v="9"/>
    <x v="1"/>
    <d v="2023-03-19T00:00:00"/>
    <n v="9.7200000000000006"/>
    <n v="2.1"/>
    <n v="1"/>
    <n v="1.5100000000000002"/>
    <n v="54"/>
  </r>
  <r>
    <n v="10"/>
    <x v="2"/>
    <d v="2023-03-20T00:00:00"/>
    <n v="40.96"/>
    <n v="2.6"/>
    <n v="21.2"/>
    <n v="12.8"/>
    <n v="119"/>
  </r>
  <r>
    <n v="11"/>
    <x v="3"/>
    <d v="2023-03-21T00:00:00"/>
    <n v="23.22"/>
    <n v="5.8"/>
    <n v="24.2"/>
    <n v="19.829999999999998"/>
    <n v="95"/>
  </r>
  <r>
    <n v="12"/>
    <x v="4"/>
    <d v="2023-03-22T00:00:00"/>
    <n v="50.94"/>
    <n v="24"/>
    <n v="4"/>
    <n v="31.869999999999997"/>
    <n v="151.5"/>
  </r>
  <r>
    <n v="13"/>
    <x v="5"/>
    <d v="2023-03-23T00:00:00"/>
    <n v="10.76"/>
    <n v="35.1"/>
    <n v="65.900000000000006"/>
    <m/>
    <n v="95"/>
  </r>
  <r>
    <n v="14"/>
    <x v="6"/>
    <d v="2023-03-24T00:00:00"/>
    <n v="26.5"/>
    <n v="7.6"/>
    <n v="7.2"/>
    <m/>
    <n v="113"/>
  </r>
  <r>
    <n v="15"/>
    <x v="0"/>
    <d v="2023-03-25T00:00:00"/>
    <n v="44.82"/>
    <n v="32.9"/>
    <n v="46"/>
    <n v="18.459999999999997"/>
    <n v="191"/>
  </r>
  <r>
    <n v="16"/>
    <x v="1"/>
    <d v="2023-03-26T00:00:00"/>
    <n v="42.08"/>
    <n v="47.7"/>
    <n v="52.9"/>
    <n v="22.23"/>
    <n v="240"/>
  </r>
  <r>
    <n v="17"/>
    <x v="2"/>
    <d v="2023-03-27T00:00:00"/>
    <n v="89.06"/>
    <n v="36.6"/>
    <n v="93.625"/>
    <n v="23.379999999999995"/>
    <n v="135"/>
  </r>
  <r>
    <n v="18"/>
    <x v="3"/>
    <d v="2023-03-28T00:00:00"/>
    <n v="62.279999999999994"/>
    <n v="39.6"/>
    <n v="55.8"/>
    <n v="25.619999999999997"/>
    <n v="258"/>
  </r>
  <r>
    <n v="19"/>
    <x v="4"/>
    <d v="2023-03-29T00:00:00"/>
    <n v="14.84"/>
    <n v="20.5"/>
    <n v="18.3"/>
    <n v="9.8500000000000014"/>
    <n v="127"/>
  </r>
  <r>
    <n v="20"/>
    <x v="5"/>
    <d v="2023-03-30T00:00:00"/>
    <n v="32.46"/>
    <n v="23.9"/>
    <n v="19.100000000000001"/>
    <n v="19.04"/>
    <n v="148"/>
  </r>
  <r>
    <n v="21"/>
    <x v="6"/>
    <d v="2023-03-31T00:00:00"/>
    <n v="46.68"/>
    <n v="27.7"/>
    <n v="53.4"/>
    <n v="14.329999999999998"/>
    <n v="188"/>
  </r>
  <r>
    <n v="22"/>
    <x v="0"/>
    <d v="2023-04-01T00:00:00"/>
    <n v="48.480000000000004"/>
    <n v="123"/>
    <n v="23.5"/>
    <n v="16.89"/>
    <n v="127"/>
  </r>
  <r>
    <n v="23"/>
    <x v="1"/>
    <d v="2023-04-02T00:00:00"/>
    <n v="11.64"/>
    <n v="15.9"/>
    <n v="49.6"/>
    <n v="9.4299999999999962"/>
    <m/>
  </r>
  <r>
    <n v="24"/>
    <x v="2"/>
    <d v="2023-04-03T00:00:00"/>
    <n v="49.660000000000004"/>
    <n v="16.899999999999999"/>
    <n v="26.2"/>
    <n v="20.8"/>
    <n v="175"/>
  </r>
  <r>
    <n v="25"/>
    <x v="3"/>
    <d v="2023-04-04T00:00:00"/>
    <n v="20.46"/>
    <n v="12.6"/>
    <n v="18.3"/>
    <n v="5.2099999999999991"/>
    <n v="110"/>
  </r>
  <r>
    <n v="26"/>
    <x v="4"/>
    <d v="2023-04-05T00:00:00"/>
    <n v="59.58"/>
    <n v="3.5"/>
    <n v="19.5"/>
    <n v="20.239999999999998"/>
    <n v="139"/>
  </r>
  <r>
    <n v="27"/>
    <x v="5"/>
    <d v="2023-04-06T00:00:00"/>
    <n v="38.58"/>
    <n v="29.3"/>
    <n v="12.6"/>
    <n v="23.900000000000002"/>
    <n v="167"/>
  </r>
  <r>
    <n v="28"/>
    <x v="6"/>
    <d v="2023-04-07T00:00:00"/>
    <n v="49.019999999999996"/>
    <n v="16.7"/>
    <n v="22.9"/>
    <n v="23.2"/>
    <n v="168"/>
  </r>
  <r>
    <n v="29"/>
    <x v="0"/>
    <d v="2023-04-08T00:00:00"/>
    <n v="52.760000000000005"/>
    <n v="27.1"/>
    <n v="22.9"/>
    <n v="29.270000000000007"/>
    <n v="199"/>
  </r>
  <r>
    <n v="30"/>
    <x v="1"/>
    <d v="2023-04-09T00:00:00"/>
    <n v="15.12"/>
    <n v="16"/>
    <n v="40.799999999999997"/>
    <n v="18.739999999999998"/>
    <n v="123"/>
  </r>
  <r>
    <n v="31"/>
    <x v="2"/>
    <d v="2023-04-10T00:00:00"/>
    <n v="59.58"/>
    <n v="28.3"/>
    <n v="43.2"/>
    <n v="26.159999999999997"/>
    <n v="231"/>
  </r>
  <r>
    <n v="32"/>
    <x v="3"/>
    <d v="2023-04-11T00:00:00"/>
    <n v="92.987500000000011"/>
    <n v="17.399999999999999"/>
    <n v="38.6"/>
    <n v="37.253750000000011"/>
    <n v="126"/>
  </r>
  <r>
    <n v="33"/>
    <x v="4"/>
    <d v="2023-04-12T00:00:00"/>
    <n v="20.440000000000001"/>
    <n v="1.5"/>
    <n v="30"/>
    <n v="18.47"/>
    <n v="112"/>
  </r>
  <r>
    <n v="34"/>
    <x v="5"/>
    <d v="2023-04-13T00:00:00"/>
    <n v="61.120000000000005"/>
    <n v="20"/>
    <n v="0.3"/>
    <n v="36.440000000000005"/>
    <n v="184"/>
  </r>
  <r>
    <n v="35"/>
    <x v="6"/>
    <d v="2023-04-14T00:00:00"/>
    <n v="24.14"/>
    <n v="1.4"/>
    <n v="7.4"/>
    <n v="7.3099999999999987"/>
    <n v="91.5"/>
  </r>
  <r>
    <n v="36"/>
    <x v="0"/>
    <d v="2023-04-15T00:00:00"/>
    <n v="62.14"/>
    <n v="4.0999999999999996"/>
    <n v="8.5"/>
    <n v="27.72"/>
    <n v="129"/>
  </r>
  <r>
    <n v="37"/>
    <x v="1"/>
    <d v="2023-04-16T00:00:00"/>
    <n v="56.379999999999995"/>
    <n v="43.8"/>
    <n v="5"/>
    <n v="46.589999999999996"/>
    <n v="256"/>
  </r>
  <r>
    <n v="38"/>
    <x v="2"/>
    <d v="2023-04-17T00:00:00"/>
    <n v="24.94"/>
    <n v="49.4"/>
    <n v="45.7"/>
    <n v="13.89"/>
    <n v="152"/>
  </r>
  <r>
    <n v="39"/>
    <x v="3"/>
    <d v="2023-04-18T00:00:00"/>
    <n v="14.620000000000001"/>
    <n v="26.7"/>
    <n v="35.1"/>
    <n v="3.6199999999999992"/>
    <n v="114"/>
  </r>
  <r>
    <n v="40"/>
    <x v="4"/>
    <d v="2023-04-19T00:00:00"/>
    <n v="53.6"/>
    <n v="37.700000000000003"/>
    <n v="32"/>
    <n v="28.850000000000005"/>
    <n v="230"/>
  </r>
  <r>
    <n v="41"/>
    <x v="5"/>
    <d v="2023-04-20T00:00:00"/>
    <n v="45.5"/>
    <n v="22.3"/>
    <n v="31.6"/>
    <n v="18.759999999999998"/>
    <n v="179"/>
  </r>
  <r>
    <n v="42"/>
    <x v="6"/>
    <d v="2023-04-21T00:00:00"/>
    <n v="40.4"/>
    <n v="33.4"/>
    <n v="38.700000000000003"/>
    <n v="18.919999999999995"/>
    <n v="186"/>
  </r>
  <r>
    <n v="43"/>
    <x v="0"/>
    <d v="2023-04-22T00:00:00"/>
    <n v="67.72"/>
    <n v="27.7"/>
    <n v="1.8"/>
    <n v="42.49"/>
    <n v="226"/>
  </r>
  <r>
    <n v="44"/>
    <x v="1"/>
    <d v="2023-04-23T00:00:00"/>
    <n v="51.38"/>
    <n v="8.4"/>
    <n v="26.4"/>
    <n v="14.33"/>
    <n v="149"/>
  </r>
  <r>
    <n v="45"/>
    <x v="2"/>
    <d v="2023-04-24T00:00:00"/>
    <n v="12.02"/>
    <n v="25.7"/>
    <n v="43.3"/>
    <n v="18.04"/>
    <n v="89"/>
  </r>
  <r>
    <n v="46"/>
    <x v="3"/>
    <d v="2023-04-25T00:00:00"/>
    <n v="42.019999999999996"/>
    <n v="22.5"/>
    <n v="31.5"/>
    <n v="16.159999999999997"/>
    <n v="165"/>
  </r>
  <r>
    <n v="47"/>
    <x v="4"/>
    <d v="2023-04-26T00:00:00"/>
    <n v="18.940000000000001"/>
    <n v="9.9"/>
    <n v="35.700000000000003"/>
    <n v="19.64"/>
    <n v="119"/>
  </r>
  <r>
    <n v="48"/>
    <x v="5"/>
    <d v="2023-04-27T00:00:00"/>
    <n v="52.980000000000004"/>
    <n v="41.5"/>
    <n v="18.5"/>
    <n v="37.340000000000003"/>
    <n v="245"/>
  </r>
  <r>
    <n v="49"/>
    <x v="6"/>
    <d v="2023-04-28T00:00:00"/>
    <n v="46.44"/>
    <n v="15.8"/>
    <n v="49.9"/>
    <n v="10.659999999999997"/>
    <n v="149"/>
  </r>
  <r>
    <n v="50"/>
    <x v="0"/>
    <d v="2023-04-29T00:00:00"/>
    <n v="14.38"/>
    <n v="11.7"/>
    <n v="36.799999999999997"/>
    <n v="17.82"/>
    <n v="111"/>
  </r>
  <r>
    <n v="51"/>
    <x v="1"/>
    <d v="2023-04-30T00:00:00"/>
    <n v="43.96"/>
    <n v="3.1"/>
    <n v="34.6"/>
    <n v="7.6899999999999995"/>
    <n v="122"/>
  </r>
  <r>
    <n v="52"/>
    <x v="2"/>
    <d v="2023-05-01T00:00:00"/>
    <n v="29.080000000000002"/>
    <n v="9.6"/>
    <n v="3.6"/>
    <n v="13.4"/>
    <n v="112"/>
  </r>
  <r>
    <n v="53"/>
    <x v="3"/>
    <d v="2023-05-02T00:00:00"/>
    <n v="44.28"/>
    <n v="41.7"/>
    <n v="39.6"/>
    <n v="26.65"/>
    <n v="235"/>
  </r>
  <r>
    <n v="54"/>
    <x v="4"/>
    <d v="2023-05-03T00:00:00"/>
    <n v="41.519999999999996"/>
    <n v="46.2"/>
    <n v="58.7"/>
    <n v="17.879999999999995"/>
    <n v="225"/>
  </r>
  <r>
    <n v="55"/>
    <x v="5"/>
    <d v="2023-05-04T00:00:00"/>
    <n v="62.54"/>
    <n v="28.8"/>
    <n v="15.9"/>
    <n v="34.31"/>
    <n v="220"/>
  </r>
  <r>
    <n v="56"/>
    <x v="6"/>
    <d v="2023-05-05T00:00:00"/>
    <n v="40.78"/>
    <n v="49.4"/>
    <n v="60"/>
    <n v="20.590000000000003"/>
    <n v="240"/>
  </r>
  <r>
    <n v="57"/>
    <x v="0"/>
    <d v="2023-05-06T00:00:00"/>
    <n v="3.46"/>
    <n v="28.1"/>
    <n v="41.4"/>
    <n v="18.220000000000002"/>
    <n v="71"/>
  </r>
  <r>
    <n v="58"/>
    <x v="1"/>
    <d v="2023-05-07T00:00:00"/>
    <n v="33.239999999999995"/>
    <n v="19.2"/>
    <n v="16.600000000000001"/>
    <n v="16.579999999999998"/>
    <n v="133"/>
  </r>
  <r>
    <n v="59"/>
    <x v="2"/>
    <d v="2023-05-08T00:00:00"/>
    <n v="49.160000000000004"/>
    <n v="49.6"/>
    <n v="37.700000000000003"/>
    <n v="30.8"/>
    <n v="239"/>
  </r>
  <r>
    <n v="60"/>
    <x v="3"/>
    <d v="2023-05-09T00:00:00"/>
    <n v="50.14"/>
    <n v="29.5"/>
    <n v="9.3000000000000007"/>
    <n v="32.1"/>
    <n v="186"/>
  </r>
  <r>
    <n v="61"/>
    <x v="4"/>
    <d v="2023-05-10T00:00:00"/>
    <n v="16.7"/>
    <n v="2"/>
    <n v="21.4"/>
    <n v="17.79"/>
    <n v="83"/>
  </r>
  <r>
    <n v="62"/>
    <x v="5"/>
    <d v="2023-05-11T00:00:00"/>
    <n v="61.260000000000005"/>
    <n v="42.7"/>
    <n v="54.7"/>
    <n v="25.6"/>
    <n v="240"/>
  </r>
  <r>
    <n v="63"/>
    <x v="6"/>
    <d v="2023-05-12T00:00:00"/>
    <n v="53.86"/>
    <n v="15.5"/>
    <n v="27.3"/>
    <n v="20.759999999999998"/>
    <n v="170"/>
  </r>
  <r>
    <n v="64"/>
    <x v="0"/>
    <d v="2023-05-13T00:00:00"/>
    <n v="27.54"/>
    <n v="29.6"/>
    <n v="8.4"/>
    <n v="21.71"/>
    <n v="298.75"/>
  </r>
  <r>
    <n v="65"/>
    <x v="1"/>
    <d v="2023-05-14T00:00:00"/>
    <n v="27.22"/>
    <n v="42.8"/>
    <n v="28.9"/>
    <n v="22.949999999999996"/>
    <n v="187"/>
  </r>
  <r>
    <n v="66"/>
    <x v="2"/>
    <d v="2023-05-15T00:00:00"/>
    <n v="21.8"/>
    <n v="9.3000000000000007"/>
    <n v="0.9"/>
    <n v="11.190000000000001"/>
    <n v="109"/>
  </r>
  <r>
    <n v="67"/>
    <x v="3"/>
    <d v="2023-05-16T00:00:00"/>
    <n v="15.3"/>
    <n v="24.6"/>
    <n v="2.2000000000000002"/>
    <n v="14.57"/>
    <n v="104"/>
  </r>
  <r>
    <n v="68"/>
    <x v="4"/>
    <d v="2023-05-17T00:00:00"/>
    <n v="30.860000000000003"/>
    <n v="14.5"/>
    <n v="10.199999999999999"/>
    <n v="17.100000000000001"/>
    <n v="135"/>
  </r>
  <r>
    <n v="69"/>
    <x v="5"/>
    <d v="2023-05-18T00:00:00"/>
    <n v="51.480000000000004"/>
    <n v="27.5"/>
    <n v="11"/>
    <n v="33.090000000000003"/>
    <n v="196"/>
  </r>
  <r>
    <n v="70"/>
    <x v="6"/>
    <d v="2023-05-19T00:00:00"/>
    <n v="48.36"/>
    <n v="43.9"/>
    <n v="27.2"/>
    <n v="32.749999999999993"/>
    <n v="229"/>
  </r>
  <r>
    <n v="71"/>
    <x v="0"/>
    <d v="2023-05-20T00:00:00"/>
    <n v="44.82"/>
    <n v="30.6"/>
    <n v="38.700000000000003"/>
    <n v="19.729999999999997"/>
    <n v="196"/>
  </r>
  <r>
    <n v="72"/>
    <x v="1"/>
    <d v="2023-05-21T00:00:00"/>
    <n v="29.96"/>
    <n v="14.3"/>
    <n v="31.7"/>
    <n v="5.4500000000000028"/>
    <n v="129"/>
  </r>
  <r>
    <n v="73"/>
    <x v="2"/>
    <d v="2023-05-22T00:00:00"/>
    <n v="15.36"/>
    <n v="33"/>
    <n v="19.3"/>
    <n v="11.459999999999999"/>
    <n v="106"/>
  </r>
  <r>
    <n v="74"/>
    <x v="3"/>
    <d v="2023-05-23T00:00:00"/>
    <n v="28.880000000000003"/>
    <n v="5.7"/>
    <n v="31.3"/>
    <n v="3.2699999999999996"/>
    <n v="117"/>
  </r>
  <r>
    <n v="75"/>
    <x v="4"/>
    <d v="2023-05-24T00:00:00"/>
    <n v="50.68"/>
    <n v="0"/>
    <n v="13.1"/>
    <n v="28.4"/>
    <n v="187"/>
  </r>
  <r>
    <n v="76"/>
    <x v="5"/>
    <d v="2023-05-25T00:00:00"/>
    <n v="12.379999999999999"/>
    <n v="43.7"/>
    <n v="89.4"/>
    <n v="7.7799999999999976"/>
    <n v="105"/>
  </r>
  <r>
    <n v="77"/>
    <x v="6"/>
    <d v="2023-05-26T00:00:00"/>
    <n v="13.5"/>
    <n v="1.6"/>
    <n v="20.7"/>
    <n v="15.27"/>
    <n v="83"/>
  </r>
  <r>
    <n v="78"/>
    <x v="0"/>
    <d v="2023-05-27T00:00:00"/>
    <n v="25.1"/>
    <n v="28.5"/>
    <n v="14.2"/>
    <n v="20.62"/>
    <n v="149"/>
  </r>
  <r>
    <n v="79"/>
    <x v="1"/>
    <d v="2023-05-28T00:00:00"/>
    <n v="8.08"/>
    <n v="29.9"/>
    <n v="9.4"/>
    <n v="11.729999999999999"/>
    <n v="62"/>
  </r>
  <r>
    <n v="80"/>
    <x v="2"/>
    <d v="2023-05-29T00:00:00"/>
    <n v="31.2"/>
    <n v="7.7"/>
    <n v="23.1"/>
    <n v="6.2099999999999991"/>
    <n v="120"/>
  </r>
  <r>
    <n v="81"/>
    <x v="3"/>
    <d v="2023-05-30T00:00:00"/>
    <n v="19.28"/>
    <n v="26.7"/>
    <n v="22.3"/>
    <n v="12.070000000000002"/>
    <n v="120"/>
  </r>
  <r>
    <n v="82"/>
    <x v="4"/>
    <d v="2023-05-31T00:00:00"/>
    <n v="151.96"/>
    <n v="4.0999999999999996"/>
    <n v="36.9"/>
    <n v="11.270000000000001"/>
    <n v="128"/>
  </r>
  <r>
    <n v="83"/>
    <x v="5"/>
    <d v="2023-06-01T00:00:00"/>
    <n v="18.059999999999999"/>
    <n v="20.3"/>
    <n v="32.5"/>
    <n v="4.68"/>
    <n v="128"/>
  </r>
  <r>
    <n v="84"/>
    <x v="6"/>
    <d v="2023-06-02T00:00:00"/>
    <n v="22.68"/>
    <n v="44.5"/>
    <n v="35.6"/>
    <n v="14.849999999999998"/>
    <n v="149"/>
  </r>
  <r>
    <n v="85"/>
    <x v="0"/>
    <d v="2023-06-03T00:00:00"/>
    <n v="45.7"/>
    <n v="43"/>
    <n v="33.799999999999997"/>
    <n v="29.330000000000002"/>
    <n v="223"/>
  </r>
  <r>
    <n v="86"/>
    <x v="1"/>
    <d v="2023-06-04T00:00:00"/>
    <n v="42.64"/>
    <n v="18.399999999999999"/>
    <n v="65.7"/>
    <n v="2.2399999999999984"/>
    <n v="159"/>
  </r>
  <r>
    <n v="87"/>
    <x v="2"/>
    <d v="2023-06-05T00:00:00"/>
    <n v="21.259999999999998"/>
    <n v="27.5"/>
    <n v="16"/>
    <n v="14.979999999999999"/>
    <n v="122"/>
  </r>
  <r>
    <n v="88"/>
    <x v="3"/>
    <d v="2023-06-06T00:00:00"/>
    <n v="28.14"/>
    <n v="40.6"/>
    <n v="63.2"/>
    <n v="6.09"/>
    <n v="180"/>
  </r>
  <r>
    <n v="89"/>
    <x v="4"/>
    <d v="2023-06-07T00:00:00"/>
    <n v="27.66"/>
    <n v="225.5"/>
    <n v="73.400000000000006"/>
    <n v="12.219999999999995"/>
    <n v="147"/>
  </r>
  <r>
    <n v="90"/>
    <x v="5"/>
    <d v="2023-06-08T00:00:00"/>
    <n v="23.96"/>
    <n v="47.8"/>
    <n v="51.4"/>
    <n v="14.319999999999993"/>
    <n v="177"/>
  </r>
  <r>
    <n v="91"/>
    <x v="6"/>
    <d v="2023-06-09T00:00:00"/>
    <n v="31.860000000000003"/>
    <n v="4.9000000000000004"/>
    <n v="9.3000000000000007"/>
    <n v="12.160000000000002"/>
    <n v="93"/>
  </r>
  <r>
    <n v="92"/>
    <x v="0"/>
    <d v="2023-06-10T00:00:00"/>
    <n v="14.72"/>
    <n v="1.5"/>
    <n v="33"/>
    <n v="10.41"/>
    <n v="74"/>
  </r>
  <r>
    <n v="93"/>
    <x v="1"/>
    <d v="2023-06-11T00:00:00"/>
    <n v="47.54"/>
    <n v="33.5"/>
    <n v="59"/>
    <n v="14.919999999999995"/>
    <n v="811"/>
  </r>
  <r>
    <n v="94"/>
    <x v="2"/>
    <d v="2023-06-12T00:00:00"/>
    <n v="56.18"/>
    <n v="36.5"/>
    <n v="72.3"/>
    <n v="14.420000000000002"/>
    <n v="225"/>
  </r>
  <r>
    <n v="95"/>
    <x v="3"/>
    <d v="2023-06-13T00:00:00"/>
    <n v="30.48"/>
    <n v="14"/>
    <n v="10.9"/>
    <n v="13.380000000000003"/>
    <n v="117"/>
  </r>
  <r>
    <n v="96"/>
    <x v="4"/>
    <d v="2023-06-14T00:00:00"/>
    <n v="40.660000000000004"/>
    <n v="31.6"/>
    <n v="52.9"/>
    <n v="10.970000000000002"/>
    <n v="175"/>
  </r>
  <r>
    <n v="97"/>
    <x v="5"/>
    <d v="2023-06-15T00:00:00"/>
    <n v="46.519999999999996"/>
    <n v="3.5"/>
    <n v="5.9"/>
    <n v="19.149999999999999"/>
    <n v="132"/>
  </r>
  <r>
    <n v="98"/>
    <x v="6"/>
    <d v="2023-06-16T00:00:00"/>
    <n v="41.980000000000004"/>
    <n v="21"/>
    <n v="22"/>
    <n v="20.190000000000001"/>
    <n v="168"/>
  </r>
  <r>
    <n v="99"/>
    <x v="0"/>
    <d v="2023-06-17T00:00:00"/>
    <n v="64.94"/>
    <n v="42.3"/>
    <n v="51.2"/>
    <n v="29.639999999999993"/>
    <n v="257"/>
  </r>
  <r>
    <n v="100"/>
    <x v="1"/>
    <d v="2023-06-18T00:00:00"/>
    <n v="28.04"/>
    <n v="41.7"/>
    <n v="45.9"/>
    <n v="16.010000000000005"/>
    <n v="183"/>
  </r>
  <r>
    <n v="101"/>
    <x v="2"/>
    <d v="2023-06-19T00:00:00"/>
    <n v="51.480000000000004"/>
    <n v="4.3"/>
    <n v="49.8"/>
    <n v="4.4699999999999989"/>
    <n v="137"/>
  </r>
  <r>
    <n v="102"/>
    <x v="3"/>
    <d v="2023-06-20T00:00:00"/>
    <n v="63.279999999999994"/>
    <n v="36.299999999999997"/>
    <n v="93.625"/>
    <n v="10.339999999999989"/>
    <n v="254"/>
  </r>
  <r>
    <n v="103"/>
    <x v="4"/>
    <d v="2023-06-21T00:00:00"/>
    <n v="64.039999999999992"/>
    <n v="10.1"/>
    <n v="21.4"/>
    <n v="24.509999999999998"/>
    <n v="158"/>
  </r>
  <r>
    <n v="104"/>
    <x v="5"/>
    <d v="2023-06-22T00:00:00"/>
    <n v="38.58"/>
    <n v="17.2"/>
    <n v="17.899999999999999"/>
    <n v="20.23"/>
    <n v="163"/>
  </r>
  <r>
    <n v="105"/>
    <x v="6"/>
    <d v="2023-06-23T00:00:00"/>
    <n v="54.64"/>
    <n v="34.299999999999997"/>
    <n v="5.3"/>
    <n v="38.85"/>
    <n v="208"/>
  </r>
  <r>
    <n v="106"/>
    <x v="0"/>
    <d v="2023-06-24T00:00:00"/>
    <n v="37.58"/>
    <n v="46.4"/>
    <n v="59"/>
    <n v="13.39"/>
    <n v="196"/>
  </r>
  <r>
    <n v="107"/>
    <x v="1"/>
    <d v="2023-06-25T00:00:00"/>
    <n v="8"/>
    <n v="11"/>
    <n v="29.7"/>
    <n v="16.119999999999997"/>
    <n v="86"/>
  </r>
  <r>
    <n v="108"/>
    <x v="2"/>
    <d v="2023-06-26T00:00:00"/>
    <n v="27.080000000000002"/>
    <n v="0.3"/>
    <n v="23.2"/>
    <n v="19.910000000000004"/>
    <n v="104"/>
  </r>
  <r>
    <n v="109"/>
    <x v="3"/>
    <d v="2023-06-27T00:00:00"/>
    <n v="9.620000000000001"/>
    <n v="0.4"/>
    <n v="25.6"/>
    <n v="11.269999999999998"/>
    <n v="54"/>
  </r>
  <r>
    <n v="110"/>
    <x v="4"/>
    <d v="2023-06-28T00:00:00"/>
    <n v="53.08"/>
    <n v="26.9"/>
    <n v="5.5"/>
    <n v="36.789999999999992"/>
    <m/>
  </r>
  <r>
    <n v="111"/>
    <x v="5"/>
    <d v="2023-06-29T00:00:00"/>
    <n v="54.160000000000004"/>
    <n v="8.1999999999999993"/>
    <n v="56.5"/>
    <n v="4.0799999999999983"/>
    <n v="150"/>
  </r>
  <r>
    <n v="112"/>
    <x v="6"/>
    <d v="2023-06-30T00:00:00"/>
    <n v="55.339999999999996"/>
    <n v="38"/>
    <n v="23.2"/>
    <n v="33.89"/>
    <n v="221"/>
  </r>
  <r>
    <n v="113"/>
    <x v="0"/>
    <d v="2023-07-01T00:00:00"/>
    <n v="39.14"/>
    <n v="15.4"/>
    <n v="2.4"/>
    <n v="24.31"/>
    <n v="159"/>
  </r>
  <r>
    <n v="114"/>
    <x v="1"/>
    <d v="2023-07-02T00:00:00"/>
    <n v="44.92"/>
    <n v="20.6"/>
    <n v="10.7"/>
    <n v="26.98"/>
    <n v="167"/>
  </r>
  <r>
    <n v="115"/>
    <x v="2"/>
    <d v="2023-07-03T00:00:00"/>
    <n v="18.64"/>
    <n v="46.8"/>
    <n v="34.5"/>
    <n v="17.419999999999998"/>
    <n v="152"/>
  </r>
  <r>
    <n v="116"/>
    <x v="3"/>
    <d v="2023-07-04T00:00:00"/>
    <n v="24.02"/>
    <n v="35"/>
    <n v="52.7"/>
    <n v="3.9299999999999962"/>
    <n v="133"/>
  </r>
  <r>
    <n v="117"/>
    <x v="4"/>
    <d v="2023-07-05T00:00:00"/>
    <n v="37.839999999999996"/>
    <n v="14.3"/>
    <n v="25.6"/>
    <n v="10.829999999999998"/>
    <n v="129"/>
  </r>
  <r>
    <n v="118"/>
    <x v="5"/>
    <d v="2023-07-06T00:00:00"/>
    <n v="25.28"/>
    <n v="0.8"/>
    <n v="14.8"/>
    <n v="2.12"/>
    <n v="108"/>
  </r>
  <r>
    <n v="119"/>
    <x v="6"/>
    <d v="2023-07-07T00:00:00"/>
    <n v="29.14"/>
    <n v="36.9"/>
    <n v="79.2"/>
    <n v="19.339999999999996"/>
    <n v="172"/>
  </r>
  <r>
    <n v="120"/>
    <x v="0"/>
    <d v="2023-07-08T00:00:00"/>
    <n v="9.879999999999999"/>
    <n v="16"/>
    <n v="22.3"/>
    <n v="1.0199999999999996"/>
    <n v="77"/>
  </r>
  <r>
    <n v="121"/>
    <x v="1"/>
    <d v="2023-07-09T00:00:00"/>
    <n v="36.260000000000005"/>
    <n v="26.8"/>
    <n v="46.2"/>
    <n v="9.0500000000000007"/>
    <n v="163"/>
  </r>
  <r>
    <n v="122"/>
    <x v="2"/>
    <d v="2023-07-10T00:00:00"/>
    <n v="7.76"/>
    <n v="21.7"/>
    <n v="50.4"/>
    <n v="12.57"/>
    <n v="81"/>
  </r>
  <r>
    <n v="123"/>
    <x v="3"/>
    <d v="2023-07-11T00:00:00"/>
    <n v="45.8"/>
    <n v="2.4"/>
    <n v="15.6"/>
    <n v="17.36"/>
    <n v="125"/>
  </r>
  <r>
    <n v="124"/>
    <x v="4"/>
    <d v="2023-07-12T00:00:00"/>
    <n v="33.619999999999997"/>
    <n v="34.6"/>
    <n v="12.4"/>
    <n v="24.65"/>
    <n v="171"/>
  </r>
  <r>
    <n v="125"/>
    <x v="5"/>
    <d v="2023-07-13T00:00:00"/>
    <n v="51.9"/>
    <n v="32.299999999999997"/>
    <n v="74.2"/>
    <n v="9.419999999999991"/>
    <n v="201"/>
  </r>
  <r>
    <n v="126"/>
    <x v="6"/>
    <d v="2023-07-14T00:00:00"/>
    <n v="18.440000000000001"/>
    <n v="11.8"/>
    <n v="25.9"/>
    <n v="4.2600000000000016"/>
    <n v="126"/>
  </r>
  <r>
    <n v="127"/>
    <x v="0"/>
    <d v="2023-07-15T00:00:00"/>
    <n v="8.56"/>
    <n v="38.9"/>
    <n v="50.6"/>
    <n v="19.989999999999998"/>
    <n v="78"/>
  </r>
  <r>
    <n v="128"/>
    <x v="1"/>
    <d v="2023-07-16T00:00:00"/>
    <n v="71.06"/>
    <m/>
    <n v="9.1999999999999993"/>
    <n v="31.35"/>
    <n v="92"/>
  </r>
  <r>
    <n v="129"/>
    <x v="2"/>
    <d v="2023-07-17T00:00:00"/>
    <n v="54.06"/>
    <n v="49"/>
    <n v="3.2"/>
    <n v="45.25"/>
    <n v="264"/>
  </r>
  <r>
    <n v="130"/>
    <x v="3"/>
    <d v="2023-07-18T00:00:00"/>
    <n v="18.920000000000002"/>
    <n v="12"/>
    <n v="43.1"/>
    <n v="14.719999999999999"/>
    <n v="116"/>
  </r>
  <r>
    <n v="131"/>
    <x v="4"/>
    <d v="2023-07-19T00:00:00"/>
    <n v="6"/>
    <n v="39.6"/>
    <n v="8.6999999999999993"/>
    <n v="111"/>
    <n v="28"/>
  </r>
  <r>
    <n v="132"/>
    <x v="5"/>
    <d v="2023-07-20T00:00:00"/>
    <n v="55.04"/>
    <n v="2.9"/>
    <n v="43"/>
    <n v="10.77"/>
    <n v="147"/>
  </r>
  <r>
    <n v="133"/>
    <x v="6"/>
    <d v="2023-07-21T00:00:00"/>
    <n v="5.68"/>
    <n v="27.2"/>
    <n v="2.1"/>
    <n v="13.6"/>
    <n v="71"/>
  </r>
  <r>
    <n v="134"/>
    <x v="0"/>
    <d v="2023-07-22T00:00:00"/>
    <n v="45.96"/>
    <n v="33.5"/>
    <n v="45.1"/>
    <n v="20.69"/>
    <m/>
  </r>
  <r>
    <n v="135"/>
    <x v="1"/>
    <d v="2023-07-23T00:00:00"/>
    <n v="14.379999999999999"/>
    <n v="38.6"/>
    <n v="65.599999999999994"/>
    <n v="16.750000000000004"/>
    <n v="124"/>
  </r>
  <r>
    <n v="136"/>
    <x v="2"/>
    <d v="2023-07-24T00:00:00"/>
    <n v="14.66"/>
    <n v="47"/>
    <n v="8.5"/>
    <n v="24.93"/>
    <n v="124"/>
  </r>
  <r>
    <n v="137"/>
    <x v="3"/>
    <d v="2023-07-25T00:00:00"/>
    <n v="10.120000000000001"/>
    <n v="39"/>
    <n v="9.3000000000000007"/>
    <n v="18.339999999999996"/>
    <n v="98"/>
  </r>
  <r>
    <n v="138"/>
    <x v="4"/>
    <d v="2023-07-26T00:00:00"/>
    <n v="58.739999999999995"/>
    <n v="28.9"/>
    <n v="59.7"/>
    <n v="17.939999999999991"/>
    <n v="210"/>
  </r>
  <r>
    <n v="139"/>
    <x v="5"/>
    <d v="2023-07-27T00:00:00"/>
    <n v="9.6"/>
    <n v="25.9"/>
    <n v="20.5"/>
    <n v="9.0499999999999989"/>
    <n v="109"/>
  </r>
  <r>
    <n v="140"/>
    <x v="6"/>
    <d v="2023-07-28T00:00:00"/>
    <n v="196.98"/>
    <n v="43.9"/>
    <n v="1.7"/>
    <n v="39.76"/>
    <n v="227"/>
  </r>
  <r>
    <n v="141"/>
    <x v="0"/>
    <d v="2023-07-29T00:00:00"/>
    <m/>
    <n v="17"/>
    <n v="12.9"/>
    <n v="10.68"/>
    <n v="113"/>
  </r>
  <r>
    <n v="142"/>
    <x v="1"/>
    <d v="2023-07-30T00:00:00"/>
    <m/>
    <n v="35.4"/>
    <n v="75.599999999999994"/>
    <n v="6.8299999999999947"/>
    <n v="207"/>
  </r>
  <r>
    <n v="143"/>
    <x v="2"/>
    <d v="2023-07-31T00:00:00"/>
    <n v="50.1"/>
    <n v="33.200000000000003"/>
    <n v="37.9"/>
    <n v="23.490000000000006"/>
    <n v="218"/>
  </r>
  <r>
    <n v="144"/>
    <x v="3"/>
    <d v="2023-08-01T00:00:00"/>
    <n v="28.919999999999998"/>
    <n v="5.7"/>
    <n v="34.4"/>
    <n v="19.549999999999997"/>
    <m/>
  </r>
  <r>
    <n v="145"/>
    <x v="4"/>
    <d v="2023-08-02T00:00:00"/>
    <n v="29.240000000000002"/>
    <n v="14.8"/>
    <n v="38.9"/>
    <n v="1.4600000000000026"/>
    <n v="127"/>
  </r>
  <r>
    <n v="146"/>
    <x v="5"/>
    <d v="2023-08-03T00:00:00"/>
    <n v="31.060000000000002"/>
    <n v="1.9"/>
    <n v="9"/>
    <n v="11.38"/>
    <n v="123"/>
  </r>
  <r>
    <n v="147"/>
    <x v="6"/>
    <d v="2023-08-04T00:00:00"/>
    <n v="55.019999999999996"/>
    <n v="7.3"/>
    <n v="8.6999999999999993"/>
    <n v="24.179999999999996"/>
    <n v="142"/>
  </r>
  <r>
    <n v="148"/>
    <x v="0"/>
    <d v="2023-08-05T00:00:00"/>
    <n v="50.64"/>
    <n v="49"/>
    <n v="44.3"/>
    <n v="31.1"/>
    <n v="265"/>
  </r>
  <r>
    <n v="149"/>
    <x v="1"/>
    <d v="2023-08-06T00:00:00"/>
    <n v="15.6"/>
    <n v="40.299999999999997"/>
    <n v="11.9"/>
    <n v="19.189999999999998"/>
    <n v="110"/>
  </r>
  <r>
    <n v="150"/>
    <x v="2"/>
    <d v="2023-08-07T00:00:00"/>
    <n v="164"/>
    <n v="25.8"/>
    <n v="20.6"/>
    <n v="9.1300000000000008"/>
    <n v="118"/>
  </r>
  <r>
    <n v="151"/>
    <x v="3"/>
    <d v="2023-08-08T00:00:00"/>
    <n v="66.14"/>
    <n v="13.9"/>
    <n v="37"/>
    <n v="20.220000000000002"/>
    <n v="166"/>
  </r>
  <r>
    <n v="152"/>
    <x v="4"/>
    <d v="2023-08-09T00:00:00"/>
    <n v="31.2"/>
    <n v="8.4"/>
    <n v="48.7"/>
    <n v="16.819999999999997"/>
    <n v="125"/>
  </r>
  <r>
    <n v="153"/>
    <x v="5"/>
    <d v="2023-08-10T00:00:00"/>
    <n v="40.519999999999996"/>
    <n v="23.3"/>
    <n v="14.2"/>
    <n v="25.729999999999997"/>
    <n v="169"/>
  </r>
  <r>
    <n v="154"/>
    <x v="6"/>
    <d v="2023-08-11T00:00:00"/>
    <n v="37.260000000000005"/>
    <n v="39.700000000000003"/>
    <n v="37.700000000000003"/>
    <n v="21.900000000000002"/>
    <n v="208"/>
  </r>
  <r>
    <n v="155"/>
    <x v="0"/>
    <d v="2023-08-12T00:00:00"/>
    <n v="43.56"/>
    <n v="21.1"/>
    <n v="9.5"/>
    <n v="25.53"/>
    <n v="166"/>
  </r>
  <r>
    <n v="156"/>
    <x v="1"/>
    <d v="2023-08-13T00:00:00"/>
    <n v="9.82"/>
    <n v="11.6"/>
    <n v="5.7"/>
    <n v="92"/>
    <n v="35"/>
  </r>
  <r>
    <n v="157"/>
    <x v="2"/>
    <d v="2023-08-14T00:00:00"/>
    <n v="25.78"/>
    <n v="43.5"/>
    <n v="50.5"/>
    <n v="10.939999999999998"/>
    <n v="173"/>
  </r>
  <r>
    <n v="158"/>
    <x v="3"/>
    <d v="2023-08-15T00:00:00"/>
    <n v="39.96"/>
    <n v="1.3"/>
    <n v="24.3"/>
    <n v="5.91"/>
    <n v="111"/>
  </r>
  <r>
    <n v="159"/>
    <x v="4"/>
    <d v="2023-08-16T00:00:00"/>
    <n v="12.34"/>
    <n v="36.9"/>
    <n v="45.2"/>
    <n v="1.5399999999999956"/>
    <n v="85"/>
  </r>
  <r>
    <n v="160"/>
    <x v="5"/>
    <d v="2023-08-17T00:00:00"/>
    <n v="32.339999999999996"/>
    <n v="18.399999999999999"/>
    <n v="34.6"/>
    <n v="8.5299999999999958"/>
    <n v="138"/>
  </r>
  <r>
    <n v="161"/>
    <x v="6"/>
    <d v="2023-08-18T00:00:00"/>
    <n v="44.5"/>
    <n v="18.100000000000001"/>
    <n v="30.7"/>
    <n v="14.02"/>
    <n v="159"/>
  </r>
  <r>
    <n v="162"/>
    <x v="0"/>
    <d v="2023-08-19T00:00:00"/>
    <n v="19.14"/>
    <n v="35.799999999999997"/>
    <n v="49.3"/>
    <n v="6.75"/>
    <n v="151"/>
  </r>
  <r>
    <n v="163"/>
    <x v="1"/>
    <d v="2023-08-20T00:00:00"/>
    <n v="42.68"/>
    <m/>
    <m/>
    <n v="17.649999999999999"/>
    <n v="168"/>
  </r>
  <r>
    <n v="164"/>
    <x v="2"/>
    <d v="2023-08-21T00:00:00"/>
    <n v="33.700000000000003"/>
    <n v="36.799999999999997"/>
    <n v="7.4"/>
    <n v="31.79"/>
    <n v="193"/>
  </r>
  <r>
    <n v="165"/>
    <x v="3"/>
    <d v="2023-08-22T00:00:00"/>
    <n v="28.44"/>
    <n v="14.7"/>
    <n v="5.4"/>
    <n v="16.91"/>
    <n v="132"/>
  </r>
  <r>
    <n v="166"/>
    <x v="4"/>
    <d v="2023-08-23T00:00:00"/>
    <n v="56.9"/>
    <n v="3.4"/>
    <n v="84.8"/>
    <n v="11.229999999999997"/>
    <n v="131"/>
  </r>
  <r>
    <n v="167"/>
    <x v="5"/>
    <d v="2023-08-24T00:00:00"/>
    <n v="11.58"/>
    <n v="37.6"/>
    <n v="21.6"/>
    <n v="11.95"/>
    <n v="90"/>
  </r>
  <r>
    <n v="168"/>
    <x v="6"/>
    <d v="2023-08-25T00:00:00"/>
    <n v="48.36"/>
    <n v="5.2"/>
    <n v="19.399999999999999"/>
    <n v="15.520000000000001"/>
    <n v="129"/>
  </r>
  <r>
    <n v="169"/>
    <x v="0"/>
    <d v="2023-08-26T00:00:00"/>
    <n v="45.08"/>
    <n v="23.6"/>
    <n v="57.6"/>
    <n v="10.3"/>
    <n v="185"/>
  </r>
  <r>
    <n v="170"/>
    <x v="1"/>
    <d v="2023-08-27T00:00:00"/>
    <n v="60.86"/>
    <n v="10.6"/>
    <n v="6.4"/>
    <n v="31.169999999999995"/>
    <n v="162"/>
  </r>
  <r>
    <n v="171"/>
    <x v="2"/>
    <d v="2023-08-28T00:00:00"/>
    <n v="12"/>
    <n v="11.6"/>
    <n v="18.399999999999999"/>
    <n v="3.4400000000000013"/>
    <n v="90"/>
  </r>
  <r>
    <n v="172"/>
    <x v="3"/>
    <d v="2023-08-29T00:00:00"/>
    <n v="42.9"/>
    <n v="20.9"/>
    <n v="47.4"/>
    <n v="7.9399999999999977"/>
    <n v="163"/>
  </r>
  <r>
    <n v="173"/>
    <x v="4"/>
    <d v="2023-08-30T00:00:00"/>
    <n v="9.92"/>
    <n v="20.100000000000001"/>
    <n v="17"/>
    <n v="5.2100000000000009"/>
    <n v="93"/>
  </r>
  <r>
    <n v="174"/>
    <x v="5"/>
    <d v="2023-08-31T00:00:00"/>
    <n v="36.68"/>
    <n v="7.1"/>
    <n v="12.8"/>
    <n v="15.27"/>
    <n v="129"/>
  </r>
  <r>
    <n v="175"/>
    <x v="6"/>
    <d v="2023-09-01T00:00:00"/>
    <n v="53.480000000000004"/>
    <n v="3.4"/>
    <n v="13.1"/>
    <n v="18.700000000000003"/>
    <n v="127"/>
  </r>
  <r>
    <n v="176"/>
    <x v="0"/>
    <d v="2023-09-02T00:00:00"/>
    <n v="64.38"/>
    <n v="48.9"/>
    <n v="41.8"/>
    <n v="35.42"/>
    <n v="271"/>
  </r>
  <r>
    <n v="177"/>
    <x v="1"/>
    <d v="2023-09-03T00:00:00"/>
    <n v="58.68"/>
    <n v="30.2"/>
    <n v="20.3"/>
    <n v="31.819999999999997"/>
    <n v="216"/>
  </r>
  <r>
    <n v="178"/>
    <x v="2"/>
    <d v="2023-09-04T00:00:00"/>
    <n v="40.04"/>
    <n v="7.8"/>
    <n v="35.200000000000003"/>
    <n v="95"/>
    <n v="131"/>
  </r>
  <r>
    <n v="179"/>
    <x v="3"/>
    <d v="2023-09-05T00:00:00"/>
    <n v="63.339999999999996"/>
    <n v="2.2999999999999998"/>
    <n v="23.7"/>
    <n v="19.339999999999996"/>
    <n v="131"/>
  </r>
  <r>
    <n v="180"/>
    <x v="4"/>
    <d v="2023-09-06T00:00:00"/>
    <n v="41.12"/>
    <n v="10"/>
    <n v="17.600000000000001"/>
    <n v="14.519999999999998"/>
    <n v="135"/>
  </r>
  <r>
    <n v="181"/>
    <x v="5"/>
    <d v="2023-09-07T00:00:00"/>
    <n v="36.32"/>
    <n v="2.6"/>
    <n v="8.3000000000000007"/>
    <n v="13.64"/>
    <n v="108"/>
  </r>
  <r>
    <n v="182"/>
    <x v="6"/>
    <d v="2023-09-08T00:00:00"/>
    <n v="52.7"/>
    <n v="5.4"/>
    <n v="27.4"/>
    <n v="13.59"/>
    <n v="124"/>
  </r>
  <r>
    <n v="183"/>
    <x v="0"/>
    <d v="2023-09-09T00:00:00"/>
    <n v="18.240000000000002"/>
    <n v="5.7"/>
    <n v="29.7"/>
    <n v="16.59"/>
    <n v="105"/>
  </r>
  <r>
    <n v="184"/>
    <x v="1"/>
    <d v="2023-09-10T00:00:00"/>
    <n v="65.52000000000001"/>
    <n v="43"/>
    <n v="71.8"/>
    <n v="21.540000000000006"/>
    <n v="272"/>
  </r>
  <r>
    <n v="185"/>
    <x v="2"/>
    <d v="2023-09-11T00:00:00"/>
    <n v="58.760000000000005"/>
    <n v="21.3"/>
    <n v="30"/>
    <n v="24.03"/>
    <n v="188"/>
  </r>
  <r>
    <n v="186"/>
    <x v="3"/>
    <d v="2023-09-12T00:00:00"/>
    <n v="46"/>
    <n v="45.1"/>
    <n v="19.600000000000001"/>
    <n v="35.209999999999994"/>
    <n v="228"/>
  </r>
  <r>
    <n v="187"/>
    <x v="4"/>
    <d v="2023-09-13T00:00:00"/>
    <n v="35.9"/>
    <n v="2.1"/>
    <n v="26.6"/>
    <n v="4.3599999999999994"/>
    <n v="108"/>
  </r>
  <r>
    <n v="188"/>
    <x v="5"/>
    <d v="2023-09-14T00:00:00"/>
    <n v="41.22"/>
    <n v="28.7"/>
    <n v="18.2"/>
    <n v="26.18"/>
    <n v="186"/>
  </r>
  <r>
    <n v="189"/>
    <x v="6"/>
    <d v="2023-09-15T00:00:00"/>
    <n v="59.2"/>
    <n v="13.9"/>
    <n v="3.7"/>
    <n v="34.070000000000007"/>
    <n v="167"/>
  </r>
  <r>
    <n v="190"/>
    <x v="0"/>
    <d v="2023-09-16T00:00:00"/>
    <n v="6.74"/>
    <n v="12.1"/>
    <n v="23.4"/>
    <n v="18.560000000000002"/>
    <n v="83"/>
  </r>
  <r>
    <n v="191"/>
    <x v="1"/>
    <d v="2023-09-17T00:00:00"/>
    <n v="15.9"/>
    <n v="41.1"/>
    <n v="5.8"/>
    <n v="22.18"/>
    <n v="114"/>
  </r>
  <r>
    <n v="192"/>
    <x v="2"/>
    <d v="2023-09-18T00:00:00"/>
    <n v="21.1"/>
    <n v="10.8"/>
    <n v="6"/>
    <n v="10.549999999999999"/>
    <n v="116"/>
  </r>
  <r>
    <n v="193"/>
    <x v="3"/>
    <d v="2023-09-19T00:00:00"/>
    <n v="12.44"/>
    <n v="4.0999999999999996"/>
    <n v="31.6"/>
    <n v="11.129999999999999"/>
    <n v="62"/>
  </r>
  <r>
    <n v="194"/>
    <x v="4"/>
    <d v="2023-09-20T00:00:00"/>
    <n v="41.36"/>
    <n v="42"/>
    <n v="3.6"/>
    <n v="36.24"/>
    <n v="204"/>
  </r>
  <r>
    <n v="195"/>
    <x v="5"/>
    <d v="2023-09-21T00:00:00"/>
    <n v="32.94"/>
    <n v="35.6"/>
    <n v="6"/>
    <m/>
    <n v="184"/>
  </r>
  <r>
    <n v="196"/>
    <x v="6"/>
    <d v="2023-09-22T00:00:00"/>
    <n v="14.64"/>
    <n v="3.7"/>
    <n v="13.8"/>
    <n v="0.14999999999999947"/>
    <n v="91"/>
  </r>
  <r>
    <n v="197"/>
    <x v="0"/>
    <d v="2023-09-23T00:00:00"/>
    <n v="27.84"/>
    <n v="4.9000000000000004"/>
    <n v="8.1"/>
    <n v="8.6300000000000008"/>
    <n v="116"/>
  </r>
  <r>
    <n v="198"/>
    <x v="1"/>
    <d v="2023-09-24T00:00:00"/>
    <n v="44.4"/>
    <n v="9.3000000000000007"/>
    <n v="6.4"/>
    <n v="19.79"/>
    <n v="139"/>
  </r>
  <r>
    <n v="199"/>
    <x v="2"/>
    <d v="2023-09-25T00:00:00"/>
    <n v="57.720000000000006"/>
    <n v="42"/>
    <n v="66.2"/>
    <n v="22.879999999999995"/>
    <n v="235.5"/>
  </r>
  <r>
    <n v="200"/>
    <x v="3"/>
    <d v="2023-09-26T00:00:00"/>
    <n v="52.42"/>
    <n v="8.6"/>
    <n v="8.6999999999999993"/>
    <n v="1"/>
    <n v="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38465-710D-0A4F-8CB5-41FF4E4DCB4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day">
  <location ref="O1:P9" firstHeaderRow="1" firstDataRow="1" firstDataCol="1"/>
  <pivotFields count="8"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ES" fld="7" subtotal="average" baseField="0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7-29T13:57:17.31" personId="{28223B6B-9F49-45F0-89D5-1D9700C9CE4F}" id="{5211D131-FB9E-4693-A1CF-EF4269878910}">
    <text>=WEEKDAY(C16,2)</text>
  </threadedComment>
  <threadedComment ref="I1" dT="2025-07-29T13:55:44.89" personId="{28223B6B-9F49-45F0-89D5-1D9700C9CE4F}" id="{E7DDABCD-B859-4D67-8C5D-FEA960E2B6B8}">
    <text>02_Google_Sales_Corr</text>
  </threadedComment>
  <threadedComment ref="J1" dT="2025-07-29T13:48:08.23" personId="{28223B6B-9F49-45F0-89D5-1D9700C9CE4F}" id="{EE063D38-ED9C-412E-A1CC-C69586306DFF}">
    <text>=IF(ISBLANK(E16),U$19,E16)</text>
  </threadedComment>
  <threadedComment ref="K1" dT="2025-07-29T13:47:41.55" personId="{28223B6B-9F49-45F0-89D5-1D9700C9CE4F}" id="{4804A919-E3BE-43FC-B153-438BC62EA784}">
    <text>=IF(ISBLANK(F16),U$20,F16)</text>
  </threadedComment>
  <threadedComment ref="L1" dT="2025-07-29T13:47:27.18" personId="{28223B6B-9F49-45F0-89D5-1D9700C9CE4F}" id="{B3B9C23B-CD1A-4BBF-9DB5-3A94A8D9963C}">
    <text>=IF(ISBLANK(G16),U$21,G16)</text>
  </threadedComment>
  <threadedComment ref="M1" dT="2025-07-29T13:47:10.04" personId="{28223B6B-9F49-45F0-89D5-1D9700C9CE4F}" id="{BD7258A3-376D-4B18-ACC0-A3FDEAF06861}">
    <text>=IF(ISBLANK(H16),VLOOKUP(B16,$N$1:$O$9,2,TRUE),H16)</text>
  </threadedComment>
  <threadedComment ref="W17" dT="2025-08-05T14:34:06.51" personId="{28223B6B-9F49-45F0-89D5-1D9700C9CE4F}" id="{E9169F69-E57D-4035-A36E-E3B8A5093F0D}">
    <text xml:space="preserve">Coefficient of Variation (Varyasyon Katsayısı)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07-29T14:24:00.26" personId="{28223B6B-9F49-45F0-89D5-1D9700C9CE4F}" id="{4EA5FB4B-E00D-4B19-92C2-4DC553944AC2}">
    <text>=IF(ISBLANK(B5),AVERAGE(B2:B8),B5)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" dT="2025-08-08T21:58:40.45" personId="{28223B6B-9F49-45F0-89D5-1D9700C9CE4F}" id="{9E1C0E8D-3D1C-4669-BEF0-34B8CED21544}">
    <text>=IF(D2&gt;T$4,T$4,D2)</text>
  </threadedComment>
  <threadedComment ref="J1" dT="2025-08-08T21:59:24.20" personId="{28223B6B-9F49-45F0-89D5-1D9700C9CE4F}" id="{3F3D05C8-1A89-49E5-9894-72D2E1BABD6C}">
    <text>=IF(E2&gt;T$5,T$5,E2)</text>
  </threadedComment>
  <threadedComment ref="K1" dT="2025-08-08T21:59:34.68" personId="{28223B6B-9F49-45F0-89D5-1D9700C9CE4F}" id="{617D1593-5D30-41C3-B94B-21998EB4A826}">
    <text>=IF(F2&gt;T$6,T$6,F2)</text>
  </threadedComment>
  <threadedComment ref="L1" dT="2025-08-08T21:59:52.69" personId="{28223B6B-9F49-45F0-89D5-1D9700C9CE4F}" id="{9C39AC5D-56C6-4BD9-81A3-FD4482331065}">
    <text>=IF(G2&gt;T$7,T$7,G2)</text>
  </threadedComment>
  <threadedComment ref="M1" dT="2025-08-08T22:00:05.17" personId="{28223B6B-9F49-45F0-89D5-1D9700C9CE4F}" id="{8C6666C1-DAD0-4A97-B659-A4CD400A2321}">
    <text>=IF(H2&gt;T$8,T$8,H2)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9" dT="2025-07-29T16:45:11.34" personId="{28223B6B-9F49-45F0-89D5-1D9700C9CE4F}" id="{14E57C5A-F61F-4957-AC6B-7B51C65D41CE}">
    <text>Farkındalık</text>
  </threadedComment>
  <threadedComment ref="A11" dT="2025-07-29T16:44:53.91" personId="{28223B6B-9F49-45F0-89D5-1D9700C9CE4F}" id="{F5BA56C0-137B-4C08-8AFF-80EE56157095}">
    <text>Üye Olma</text>
  </threadedComment>
  <threadedComment ref="B25" dT="2025-07-29T17:15:59.85" personId="{28223B6B-9F49-45F0-89D5-1D9700C9CE4F}" id="{FCAB3F85-6BD0-4EB1-8F0F-85F40CC18CF7}">
    <text>Formula
Churn Rate= 1- Retention</text>
  </threadedComment>
  <threadedComment ref="B26" dT="2025-07-29T17:13:58.08" personId="{28223B6B-9F49-45F0-89D5-1D9700C9CE4F}" id="{7DD582DD-0AA5-474C-8D78-ACF8983A121D}">
    <text xml:space="preserve">Formula:
LT = 1 ÷ Churn </text>
  </threadedComment>
  <threadedComment ref="B27" dT="2025-07-29T17:15:06.00" personId="{28223B6B-9F49-45F0-89D5-1D9700C9CE4F}" id="{BDED082B-B914-42AC-977D-58A490F22167}">
    <text>Formula:
LT *12</text>
  </threadedComment>
  <threadedComment ref="B29" dT="2025-07-29T17:12:04.13" personId="{28223B6B-9F49-45F0-89D5-1D9700C9CE4F}" id="{D6BC0DDB-65FA-4267-A19F-896A5D7743FF}">
    <text xml:space="preserve">Formula:
LTV = Monthly Value × LT (months)  </text>
  </threadedComment>
  <threadedComment ref="B34" dT="2025-07-29T17:17:53.98" personId="{28223B6B-9F49-45F0-89D5-1D9700C9CE4F}" id="{B4A0C634-A794-403E-BF66-00F755274F3A}">
    <text>Formula
=IF(B37&gt;3,"✅ Feasible","Unfeasible")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EDDE-C977-4C68-9678-F0FC12148D0F}">
  <dimension ref="A1:G1000"/>
  <sheetViews>
    <sheetView showGridLines="0" zoomScale="90" zoomScaleNormal="154" workbookViewId="0">
      <selection activeCell="J12" sqref="J12"/>
    </sheetView>
  </sheetViews>
  <sheetFormatPr defaultColWidth="11.1875" defaultRowHeight="15" customHeight="1" x14ac:dyDescent="0.5"/>
  <cols>
    <col min="1" max="6" width="10.5" style="12" customWidth="1"/>
    <col min="7" max="7" width="10.1875" style="12" customWidth="1"/>
    <col min="8" max="26" width="10.5" style="12" customWidth="1"/>
    <col min="27" max="16384" width="11.1875" style="12"/>
  </cols>
  <sheetData>
    <row r="1" spans="1:7" ht="15.75" customHeight="1" x14ac:dyDescent="0.5">
      <c r="A1" s="40" t="s">
        <v>0</v>
      </c>
      <c r="B1" s="40" t="s">
        <v>1</v>
      </c>
      <c r="C1" s="41" t="s">
        <v>2</v>
      </c>
      <c r="D1" s="41" t="s">
        <v>3</v>
      </c>
      <c r="E1" s="41" t="s">
        <v>4</v>
      </c>
      <c r="F1" s="41" t="s">
        <v>8</v>
      </c>
      <c r="G1" s="42" t="s">
        <v>5</v>
      </c>
    </row>
    <row r="2" spans="1:7" ht="15.75" customHeight="1" x14ac:dyDescent="0.5">
      <c r="A2" s="13">
        <v>1</v>
      </c>
      <c r="B2" s="14">
        <f t="shared" ref="B2:B200" si="0">+B3-1</f>
        <v>44996</v>
      </c>
      <c r="C2" s="15">
        <v>56.02</v>
      </c>
      <c r="D2" s="15">
        <v>37.799999999999997</v>
      </c>
      <c r="E2" s="15">
        <v>69.2</v>
      </c>
      <c r="F2" s="16">
        <v>14.229999999999993</v>
      </c>
      <c r="G2" s="15">
        <v>236</v>
      </c>
    </row>
    <row r="3" spans="1:7" ht="15.75" customHeight="1" x14ac:dyDescent="0.5">
      <c r="A3" s="13">
        <v>2</v>
      </c>
      <c r="B3" s="14">
        <f t="shared" si="0"/>
        <v>44997</v>
      </c>
      <c r="C3" s="15">
        <v>10.9</v>
      </c>
      <c r="D3" s="15">
        <v>39.299999999999997</v>
      </c>
      <c r="E3" s="15">
        <v>45.1</v>
      </c>
      <c r="F3" s="16">
        <v>6.0599999999999952</v>
      </c>
      <c r="G3" s="15">
        <v>122</v>
      </c>
    </row>
    <row r="4" spans="1:7" ht="15.75" customHeight="1" x14ac:dyDescent="0.5">
      <c r="A4" s="13">
        <v>3</v>
      </c>
      <c r="B4" s="14">
        <f t="shared" si="0"/>
        <v>44998</v>
      </c>
      <c r="C4" s="15">
        <v>12.44</v>
      </c>
      <c r="D4" s="15">
        <v>45.9</v>
      </c>
      <c r="E4" s="15">
        <v>69.3</v>
      </c>
      <c r="F4" s="16">
        <v>16.95</v>
      </c>
      <c r="G4" s="15">
        <v>96</v>
      </c>
    </row>
    <row r="5" spans="1:7" ht="15.75" customHeight="1" x14ac:dyDescent="0.5">
      <c r="A5" s="13">
        <v>4</v>
      </c>
      <c r="B5" s="14">
        <f t="shared" si="0"/>
        <v>44999</v>
      </c>
      <c r="C5" s="15">
        <v>31.3</v>
      </c>
      <c r="D5" s="15">
        <v>41.3</v>
      </c>
      <c r="E5" s="15">
        <v>58.5</v>
      </c>
      <c r="F5" s="16">
        <v>12.399999999999995</v>
      </c>
      <c r="G5" s="15">
        <v>197</v>
      </c>
    </row>
    <row r="6" spans="1:7" ht="15.75" customHeight="1" x14ac:dyDescent="0.5">
      <c r="A6" s="13">
        <v>5</v>
      </c>
      <c r="B6" s="14">
        <f t="shared" si="0"/>
        <v>45000</v>
      </c>
      <c r="C6" s="15">
        <v>46.160000000000004</v>
      </c>
      <c r="D6" s="15">
        <v>10.8</v>
      </c>
      <c r="E6" s="15">
        <v>58.4</v>
      </c>
      <c r="F6" s="16">
        <v>0.12000000000000455</v>
      </c>
      <c r="G6" s="15">
        <v>137</v>
      </c>
    </row>
    <row r="7" spans="1:7" ht="15.75" customHeight="1" x14ac:dyDescent="0.5">
      <c r="A7" s="13">
        <v>6</v>
      </c>
      <c r="B7" s="14">
        <f t="shared" si="0"/>
        <v>45001</v>
      </c>
      <c r="C7" s="15">
        <v>6.74</v>
      </c>
      <c r="D7" s="15">
        <v>48.9</v>
      </c>
      <c r="E7" s="15">
        <v>75</v>
      </c>
      <c r="F7" s="16">
        <v>15.32</v>
      </c>
      <c r="G7" s="15">
        <v>86</v>
      </c>
    </row>
    <row r="8" spans="1:7" ht="15.75" customHeight="1" x14ac:dyDescent="0.5">
      <c r="A8" s="13">
        <v>7</v>
      </c>
      <c r="B8" s="14">
        <f t="shared" si="0"/>
        <v>45002</v>
      </c>
      <c r="C8" s="15">
        <v>13.5</v>
      </c>
      <c r="D8" s="15">
        <v>32.799999999999997</v>
      </c>
      <c r="E8" s="15">
        <v>23.5</v>
      </c>
      <c r="F8" s="16">
        <v>12.749999999999998</v>
      </c>
      <c r="G8" s="15">
        <v>123</v>
      </c>
    </row>
    <row r="9" spans="1:7" ht="15.75" customHeight="1" x14ac:dyDescent="0.5">
      <c r="A9" s="13">
        <v>8</v>
      </c>
      <c r="B9" s="14">
        <f t="shared" si="0"/>
        <v>45003</v>
      </c>
      <c r="C9" s="15">
        <v>31.04</v>
      </c>
      <c r="D9" s="15">
        <v>19.600000000000001</v>
      </c>
      <c r="E9" s="15">
        <v>11.6</v>
      </c>
      <c r="F9" s="16">
        <v>17.18</v>
      </c>
      <c r="G9" s="15">
        <v>152</v>
      </c>
    </row>
    <row r="10" spans="1:7" ht="15.75" customHeight="1" x14ac:dyDescent="0.5">
      <c r="A10" s="13">
        <v>9</v>
      </c>
      <c r="B10" s="14">
        <f t="shared" si="0"/>
        <v>45004</v>
      </c>
      <c r="C10" s="15">
        <v>9.7200000000000006</v>
      </c>
      <c r="D10" s="15">
        <v>2.1</v>
      </c>
      <c r="E10" s="15">
        <v>1</v>
      </c>
      <c r="F10" s="16">
        <v>1.5100000000000002</v>
      </c>
      <c r="G10" s="15">
        <v>54</v>
      </c>
    </row>
    <row r="11" spans="1:7" ht="15.75" customHeight="1" x14ac:dyDescent="0.5">
      <c r="A11" s="13">
        <v>10</v>
      </c>
      <c r="B11" s="14">
        <f t="shared" si="0"/>
        <v>45005</v>
      </c>
      <c r="C11" s="15">
        <v>40.96</v>
      </c>
      <c r="D11" s="15">
        <v>2.6</v>
      </c>
      <c r="E11" s="15">
        <v>21.2</v>
      </c>
      <c r="F11" s="16">
        <v>12.8</v>
      </c>
      <c r="G11" s="15">
        <v>119</v>
      </c>
    </row>
    <row r="12" spans="1:7" ht="15.75" customHeight="1" x14ac:dyDescent="0.5">
      <c r="A12" s="13">
        <v>11</v>
      </c>
      <c r="B12" s="14">
        <f t="shared" si="0"/>
        <v>45006</v>
      </c>
      <c r="C12" s="15">
        <v>23.22</v>
      </c>
      <c r="D12" s="15">
        <v>5.8</v>
      </c>
      <c r="E12" s="15">
        <v>24.2</v>
      </c>
      <c r="F12" s="16">
        <v>19.829999999999998</v>
      </c>
      <c r="G12" s="15">
        <v>95</v>
      </c>
    </row>
    <row r="13" spans="1:7" ht="15.75" customHeight="1" x14ac:dyDescent="0.5">
      <c r="A13" s="13">
        <v>12</v>
      </c>
      <c r="B13" s="14">
        <f t="shared" si="0"/>
        <v>45007</v>
      </c>
      <c r="C13" s="15">
        <v>50.94</v>
      </c>
      <c r="D13" s="15">
        <v>24</v>
      </c>
      <c r="E13" s="15">
        <v>4</v>
      </c>
      <c r="F13" s="16">
        <v>31.869999999999997</v>
      </c>
      <c r="G13" s="15">
        <v>151.5</v>
      </c>
    </row>
    <row r="14" spans="1:7" ht="15.75" customHeight="1" x14ac:dyDescent="0.5">
      <c r="A14" s="13">
        <v>13</v>
      </c>
      <c r="B14" s="14">
        <f t="shared" si="0"/>
        <v>45008</v>
      </c>
      <c r="C14" s="15">
        <v>10.76</v>
      </c>
      <c r="D14" s="15">
        <v>35.1</v>
      </c>
      <c r="E14" s="15">
        <v>65.900000000000006</v>
      </c>
      <c r="F14" s="16"/>
      <c r="G14" s="15">
        <v>95</v>
      </c>
    </row>
    <row r="15" spans="1:7" ht="15.75" customHeight="1" x14ac:dyDescent="0.5">
      <c r="A15" s="13">
        <v>14</v>
      </c>
      <c r="B15" s="14">
        <f t="shared" si="0"/>
        <v>45009</v>
      </c>
      <c r="C15" s="15">
        <v>26.5</v>
      </c>
      <c r="D15" s="15">
        <v>7.6</v>
      </c>
      <c r="E15" s="15">
        <v>7.2</v>
      </c>
      <c r="F15" s="16"/>
      <c r="G15" s="15">
        <v>113</v>
      </c>
    </row>
    <row r="16" spans="1:7" ht="15.75" customHeight="1" x14ac:dyDescent="0.5">
      <c r="A16" s="13">
        <v>15</v>
      </c>
      <c r="B16" s="14">
        <f t="shared" si="0"/>
        <v>45010</v>
      </c>
      <c r="C16" s="15">
        <v>44.82</v>
      </c>
      <c r="D16" s="15">
        <v>32.9</v>
      </c>
      <c r="E16" s="15">
        <v>46</v>
      </c>
      <c r="F16" s="16">
        <v>18.459999999999997</v>
      </c>
      <c r="G16" s="15">
        <v>191</v>
      </c>
    </row>
    <row r="17" spans="1:7" ht="15.75" customHeight="1" x14ac:dyDescent="0.5">
      <c r="A17" s="13">
        <v>16</v>
      </c>
      <c r="B17" s="14">
        <f t="shared" si="0"/>
        <v>45011</v>
      </c>
      <c r="C17" s="15">
        <v>42.08</v>
      </c>
      <c r="D17" s="15">
        <v>47.7</v>
      </c>
      <c r="E17" s="15">
        <v>52.9</v>
      </c>
      <c r="F17" s="16">
        <v>22.23</v>
      </c>
      <c r="G17" s="15">
        <v>240</v>
      </c>
    </row>
    <row r="18" spans="1:7" ht="15.75" customHeight="1" x14ac:dyDescent="0.5">
      <c r="A18" s="13">
        <v>17</v>
      </c>
      <c r="B18" s="14">
        <f t="shared" si="0"/>
        <v>45012</v>
      </c>
      <c r="C18" s="15">
        <v>89.06</v>
      </c>
      <c r="D18" s="15">
        <v>36.6</v>
      </c>
      <c r="E18" s="15">
        <v>93.625</v>
      </c>
      <c r="F18" s="16">
        <v>23.379999999999995</v>
      </c>
      <c r="G18" s="15">
        <v>135</v>
      </c>
    </row>
    <row r="19" spans="1:7" ht="15.75" customHeight="1" x14ac:dyDescent="0.5">
      <c r="A19" s="13">
        <v>18</v>
      </c>
      <c r="B19" s="14">
        <f t="shared" si="0"/>
        <v>45013</v>
      </c>
      <c r="C19" s="15">
        <v>62.279999999999994</v>
      </c>
      <c r="D19" s="15">
        <v>39.6</v>
      </c>
      <c r="E19" s="15">
        <v>55.8</v>
      </c>
      <c r="F19" s="16">
        <v>25.619999999999997</v>
      </c>
      <c r="G19" s="15">
        <v>258</v>
      </c>
    </row>
    <row r="20" spans="1:7" ht="15.75" customHeight="1" x14ac:dyDescent="0.5">
      <c r="A20" s="13">
        <v>19</v>
      </c>
      <c r="B20" s="14">
        <f t="shared" si="0"/>
        <v>45014</v>
      </c>
      <c r="C20" s="15">
        <v>14.84</v>
      </c>
      <c r="D20" s="15">
        <v>20.5</v>
      </c>
      <c r="E20" s="15">
        <v>18.3</v>
      </c>
      <c r="F20" s="16">
        <v>9.8500000000000014</v>
      </c>
      <c r="G20" s="15">
        <v>127</v>
      </c>
    </row>
    <row r="21" spans="1:7" ht="15.75" customHeight="1" x14ac:dyDescent="0.5">
      <c r="A21" s="13">
        <v>20</v>
      </c>
      <c r="B21" s="14">
        <f t="shared" si="0"/>
        <v>45015</v>
      </c>
      <c r="C21" s="15">
        <v>32.46</v>
      </c>
      <c r="D21" s="15">
        <v>23.9</v>
      </c>
      <c r="E21" s="15">
        <v>19.100000000000001</v>
      </c>
      <c r="F21" s="16">
        <v>19.04</v>
      </c>
      <c r="G21" s="15">
        <v>148</v>
      </c>
    </row>
    <row r="22" spans="1:7" ht="15.75" customHeight="1" x14ac:dyDescent="0.5">
      <c r="A22" s="13">
        <v>21</v>
      </c>
      <c r="B22" s="14">
        <f t="shared" si="0"/>
        <v>45016</v>
      </c>
      <c r="C22" s="15">
        <v>46.68</v>
      </c>
      <c r="D22" s="15">
        <v>27.7</v>
      </c>
      <c r="E22" s="15">
        <v>53.4</v>
      </c>
      <c r="F22" s="16">
        <v>14.329999999999998</v>
      </c>
      <c r="G22" s="15">
        <v>188</v>
      </c>
    </row>
    <row r="23" spans="1:7" ht="15.75" customHeight="1" x14ac:dyDescent="0.5">
      <c r="A23" s="13">
        <v>22</v>
      </c>
      <c r="B23" s="14">
        <f t="shared" si="0"/>
        <v>45017</v>
      </c>
      <c r="C23" s="15">
        <v>48.480000000000004</v>
      </c>
      <c r="D23" s="15">
        <v>123</v>
      </c>
      <c r="E23" s="15">
        <v>23.5</v>
      </c>
      <c r="F23" s="16">
        <v>16.89</v>
      </c>
      <c r="G23" s="15">
        <v>127</v>
      </c>
    </row>
    <row r="24" spans="1:7" ht="15.75" customHeight="1" x14ac:dyDescent="0.5">
      <c r="A24" s="13">
        <v>23</v>
      </c>
      <c r="B24" s="14">
        <f t="shared" si="0"/>
        <v>45018</v>
      </c>
      <c r="C24" s="15">
        <v>11.64</v>
      </c>
      <c r="D24" s="15">
        <v>15.9</v>
      </c>
      <c r="E24" s="15">
        <v>49.6</v>
      </c>
      <c r="F24" s="16">
        <v>9.4299999999999962</v>
      </c>
      <c r="G24" s="15"/>
    </row>
    <row r="25" spans="1:7" ht="15.75" customHeight="1" x14ac:dyDescent="0.5">
      <c r="A25" s="13">
        <v>24</v>
      </c>
      <c r="B25" s="14">
        <f t="shared" si="0"/>
        <v>45019</v>
      </c>
      <c r="C25" s="15">
        <v>49.660000000000004</v>
      </c>
      <c r="D25" s="15">
        <v>16.899999999999999</v>
      </c>
      <c r="E25" s="15">
        <v>26.2</v>
      </c>
      <c r="F25" s="16">
        <v>20.8</v>
      </c>
      <c r="G25" s="15">
        <v>175</v>
      </c>
    </row>
    <row r="26" spans="1:7" ht="15.75" customHeight="1" x14ac:dyDescent="0.5">
      <c r="A26" s="13">
        <v>25</v>
      </c>
      <c r="B26" s="14">
        <f t="shared" si="0"/>
        <v>45020</v>
      </c>
      <c r="C26" s="15">
        <v>20.46</v>
      </c>
      <c r="D26" s="15">
        <v>12.6</v>
      </c>
      <c r="E26" s="15">
        <v>18.3</v>
      </c>
      <c r="F26" s="16">
        <v>5.2099999999999991</v>
      </c>
      <c r="G26" s="15">
        <v>110</v>
      </c>
    </row>
    <row r="27" spans="1:7" ht="15.75" customHeight="1" x14ac:dyDescent="0.5">
      <c r="A27" s="13">
        <v>26</v>
      </c>
      <c r="B27" s="14">
        <f t="shared" si="0"/>
        <v>45021</v>
      </c>
      <c r="C27" s="15">
        <v>59.58</v>
      </c>
      <c r="D27" s="15">
        <v>3.5</v>
      </c>
      <c r="E27" s="15">
        <v>19.5</v>
      </c>
      <c r="F27" s="16">
        <v>20.239999999999998</v>
      </c>
      <c r="G27" s="15">
        <v>139</v>
      </c>
    </row>
    <row r="28" spans="1:7" ht="15.75" customHeight="1" x14ac:dyDescent="0.5">
      <c r="A28" s="13">
        <v>27</v>
      </c>
      <c r="B28" s="14">
        <f t="shared" si="0"/>
        <v>45022</v>
      </c>
      <c r="C28" s="15">
        <v>38.58</v>
      </c>
      <c r="D28" s="15">
        <v>29.3</v>
      </c>
      <c r="E28" s="15">
        <v>12.6</v>
      </c>
      <c r="F28" s="16">
        <v>23.900000000000002</v>
      </c>
      <c r="G28" s="15">
        <v>167</v>
      </c>
    </row>
    <row r="29" spans="1:7" ht="15.75" customHeight="1" x14ac:dyDescent="0.5">
      <c r="A29" s="13">
        <v>28</v>
      </c>
      <c r="B29" s="14">
        <f t="shared" si="0"/>
        <v>45023</v>
      </c>
      <c r="C29" s="15">
        <v>49.019999999999996</v>
      </c>
      <c r="D29" s="15">
        <v>16.7</v>
      </c>
      <c r="E29" s="15">
        <v>22.9</v>
      </c>
      <c r="F29" s="16">
        <v>23.2</v>
      </c>
      <c r="G29" s="15">
        <v>168</v>
      </c>
    </row>
    <row r="30" spans="1:7" ht="15.75" customHeight="1" x14ac:dyDescent="0.5">
      <c r="A30" s="13">
        <v>29</v>
      </c>
      <c r="B30" s="14">
        <f t="shared" si="0"/>
        <v>45024</v>
      </c>
      <c r="C30" s="15">
        <v>52.760000000000005</v>
      </c>
      <c r="D30" s="15">
        <v>27.1</v>
      </c>
      <c r="E30" s="15">
        <v>22.9</v>
      </c>
      <c r="F30" s="16">
        <v>29.270000000000007</v>
      </c>
      <c r="G30" s="15">
        <v>199</v>
      </c>
    </row>
    <row r="31" spans="1:7" ht="15.75" customHeight="1" x14ac:dyDescent="0.5">
      <c r="A31" s="13">
        <v>30</v>
      </c>
      <c r="B31" s="14">
        <f t="shared" si="0"/>
        <v>45025</v>
      </c>
      <c r="C31" s="15">
        <v>15.12</v>
      </c>
      <c r="D31" s="15">
        <v>16</v>
      </c>
      <c r="E31" s="15">
        <v>40.799999999999997</v>
      </c>
      <c r="F31" s="16">
        <v>18.739999999999998</v>
      </c>
      <c r="G31" s="15">
        <v>123</v>
      </c>
    </row>
    <row r="32" spans="1:7" ht="15.75" customHeight="1" x14ac:dyDescent="0.5">
      <c r="A32" s="13">
        <v>31</v>
      </c>
      <c r="B32" s="14">
        <f t="shared" si="0"/>
        <v>45026</v>
      </c>
      <c r="C32" s="15">
        <v>59.58</v>
      </c>
      <c r="D32" s="15">
        <v>28.3</v>
      </c>
      <c r="E32" s="15">
        <v>43.2</v>
      </c>
      <c r="F32" s="16">
        <v>26.159999999999997</v>
      </c>
      <c r="G32" s="15">
        <v>231</v>
      </c>
    </row>
    <row r="33" spans="1:7" ht="15.75" customHeight="1" x14ac:dyDescent="0.5">
      <c r="A33" s="13">
        <v>32</v>
      </c>
      <c r="B33" s="14">
        <f t="shared" si="0"/>
        <v>45027</v>
      </c>
      <c r="C33" s="15">
        <v>92.987500000000011</v>
      </c>
      <c r="D33" s="15">
        <v>17.399999999999999</v>
      </c>
      <c r="E33" s="15">
        <v>38.6</v>
      </c>
      <c r="F33" s="16">
        <v>37.253750000000011</v>
      </c>
      <c r="G33" s="15">
        <v>126</v>
      </c>
    </row>
    <row r="34" spans="1:7" ht="15.75" customHeight="1" x14ac:dyDescent="0.5">
      <c r="A34" s="13">
        <v>33</v>
      </c>
      <c r="B34" s="14">
        <f t="shared" si="0"/>
        <v>45028</v>
      </c>
      <c r="C34" s="15">
        <v>20.440000000000001</v>
      </c>
      <c r="D34" s="15">
        <v>1.5</v>
      </c>
      <c r="E34" s="15">
        <v>30</v>
      </c>
      <c r="F34" s="16">
        <v>18.47</v>
      </c>
      <c r="G34" s="15">
        <v>112</v>
      </c>
    </row>
    <row r="35" spans="1:7" ht="15.75" customHeight="1" x14ac:dyDescent="0.5">
      <c r="A35" s="13">
        <v>34</v>
      </c>
      <c r="B35" s="14">
        <f t="shared" si="0"/>
        <v>45029</v>
      </c>
      <c r="C35" s="15">
        <v>61.120000000000005</v>
      </c>
      <c r="D35" s="15">
        <v>20</v>
      </c>
      <c r="E35" s="15">
        <v>0.3</v>
      </c>
      <c r="F35" s="16">
        <v>36.440000000000005</v>
      </c>
      <c r="G35" s="15">
        <v>184</v>
      </c>
    </row>
    <row r="36" spans="1:7" ht="15.75" customHeight="1" x14ac:dyDescent="0.5">
      <c r="A36" s="13">
        <v>35</v>
      </c>
      <c r="B36" s="14">
        <f t="shared" si="0"/>
        <v>45030</v>
      </c>
      <c r="C36" s="15">
        <v>24.14</v>
      </c>
      <c r="D36" s="15">
        <v>1.4</v>
      </c>
      <c r="E36" s="15">
        <v>7.4</v>
      </c>
      <c r="F36" s="16">
        <v>7.3099999999999987</v>
      </c>
      <c r="G36" s="15">
        <v>91.5</v>
      </c>
    </row>
    <row r="37" spans="1:7" ht="15.75" customHeight="1" x14ac:dyDescent="0.5">
      <c r="A37" s="13">
        <v>36</v>
      </c>
      <c r="B37" s="14">
        <f t="shared" si="0"/>
        <v>45031</v>
      </c>
      <c r="C37" s="15">
        <v>62.14</v>
      </c>
      <c r="D37" s="15">
        <v>4.0999999999999996</v>
      </c>
      <c r="E37" s="15">
        <v>8.5</v>
      </c>
      <c r="F37" s="16">
        <v>27.72</v>
      </c>
      <c r="G37" s="15">
        <v>129</v>
      </c>
    </row>
    <row r="38" spans="1:7" ht="15.75" customHeight="1" x14ac:dyDescent="0.5">
      <c r="A38" s="13">
        <v>37</v>
      </c>
      <c r="B38" s="14">
        <f t="shared" si="0"/>
        <v>45032</v>
      </c>
      <c r="C38" s="15">
        <v>56.379999999999995</v>
      </c>
      <c r="D38" s="15">
        <v>43.8</v>
      </c>
      <c r="E38" s="15">
        <v>5</v>
      </c>
      <c r="F38" s="16">
        <v>46.589999999999996</v>
      </c>
      <c r="G38" s="15">
        <v>256</v>
      </c>
    </row>
    <row r="39" spans="1:7" ht="15.75" customHeight="1" x14ac:dyDescent="0.5">
      <c r="A39" s="13">
        <v>38</v>
      </c>
      <c r="B39" s="14">
        <f t="shared" si="0"/>
        <v>45033</v>
      </c>
      <c r="C39" s="15">
        <v>24.94</v>
      </c>
      <c r="D39" s="15">
        <v>49.4</v>
      </c>
      <c r="E39" s="15">
        <v>45.7</v>
      </c>
      <c r="F39" s="16">
        <v>13.89</v>
      </c>
      <c r="G39" s="15">
        <v>152</v>
      </c>
    </row>
    <row r="40" spans="1:7" ht="15.75" customHeight="1" x14ac:dyDescent="0.5">
      <c r="A40" s="13">
        <v>39</v>
      </c>
      <c r="B40" s="14">
        <f t="shared" si="0"/>
        <v>45034</v>
      </c>
      <c r="C40" s="15">
        <v>14.620000000000001</v>
      </c>
      <c r="D40" s="15">
        <v>26.7</v>
      </c>
      <c r="E40" s="15">
        <v>35.1</v>
      </c>
      <c r="F40" s="16">
        <v>3.6199999999999992</v>
      </c>
      <c r="G40" s="15">
        <v>114</v>
      </c>
    </row>
    <row r="41" spans="1:7" ht="15.75" customHeight="1" x14ac:dyDescent="0.5">
      <c r="A41" s="13">
        <v>40</v>
      </c>
      <c r="B41" s="14">
        <f t="shared" si="0"/>
        <v>45035</v>
      </c>
      <c r="C41" s="15">
        <v>53.6</v>
      </c>
      <c r="D41" s="15">
        <v>37.700000000000003</v>
      </c>
      <c r="E41" s="15">
        <v>32</v>
      </c>
      <c r="F41" s="16">
        <v>28.850000000000005</v>
      </c>
      <c r="G41" s="15">
        <v>230</v>
      </c>
    </row>
    <row r="42" spans="1:7" ht="15.75" customHeight="1" x14ac:dyDescent="0.5">
      <c r="A42" s="13">
        <v>41</v>
      </c>
      <c r="B42" s="14">
        <f t="shared" si="0"/>
        <v>45036</v>
      </c>
      <c r="C42" s="15">
        <v>45.5</v>
      </c>
      <c r="D42" s="15">
        <v>22.3</v>
      </c>
      <c r="E42" s="15">
        <v>31.6</v>
      </c>
      <c r="F42" s="16">
        <v>18.759999999999998</v>
      </c>
      <c r="G42" s="15">
        <v>179</v>
      </c>
    </row>
    <row r="43" spans="1:7" ht="15.75" customHeight="1" x14ac:dyDescent="0.5">
      <c r="A43" s="13">
        <v>42</v>
      </c>
      <c r="B43" s="14">
        <f t="shared" si="0"/>
        <v>45037</v>
      </c>
      <c r="C43" s="15">
        <v>40.4</v>
      </c>
      <c r="D43" s="15">
        <v>33.4</v>
      </c>
      <c r="E43" s="15">
        <v>38.700000000000003</v>
      </c>
      <c r="F43" s="16">
        <v>18.919999999999995</v>
      </c>
      <c r="G43" s="15">
        <v>186</v>
      </c>
    </row>
    <row r="44" spans="1:7" ht="15.75" customHeight="1" x14ac:dyDescent="0.5">
      <c r="A44" s="13">
        <v>43</v>
      </c>
      <c r="B44" s="14">
        <f t="shared" si="0"/>
        <v>45038</v>
      </c>
      <c r="C44" s="15">
        <v>67.72</v>
      </c>
      <c r="D44" s="15">
        <v>27.7</v>
      </c>
      <c r="E44" s="15">
        <v>1.8</v>
      </c>
      <c r="F44" s="16">
        <v>42.49</v>
      </c>
      <c r="G44" s="15">
        <v>226</v>
      </c>
    </row>
    <row r="45" spans="1:7" ht="15.75" customHeight="1" x14ac:dyDescent="0.5">
      <c r="A45" s="13">
        <v>44</v>
      </c>
      <c r="B45" s="14">
        <f t="shared" si="0"/>
        <v>45039</v>
      </c>
      <c r="C45" s="15">
        <v>51.38</v>
      </c>
      <c r="D45" s="15">
        <v>8.4</v>
      </c>
      <c r="E45" s="15">
        <v>26.4</v>
      </c>
      <c r="F45" s="16">
        <v>14.33</v>
      </c>
      <c r="G45" s="15">
        <v>149</v>
      </c>
    </row>
    <row r="46" spans="1:7" ht="15.75" customHeight="1" x14ac:dyDescent="0.5">
      <c r="A46" s="13">
        <v>45</v>
      </c>
      <c r="B46" s="14">
        <f t="shared" si="0"/>
        <v>45040</v>
      </c>
      <c r="C46" s="15">
        <v>12.02</v>
      </c>
      <c r="D46" s="15">
        <v>25.7</v>
      </c>
      <c r="E46" s="15">
        <v>43.3</v>
      </c>
      <c r="F46" s="16">
        <v>18.04</v>
      </c>
      <c r="G46" s="15">
        <v>89</v>
      </c>
    </row>
    <row r="47" spans="1:7" ht="15.75" customHeight="1" x14ac:dyDescent="0.5">
      <c r="A47" s="13">
        <v>46</v>
      </c>
      <c r="B47" s="14">
        <f t="shared" si="0"/>
        <v>45041</v>
      </c>
      <c r="C47" s="15">
        <v>42.019999999999996</v>
      </c>
      <c r="D47" s="15">
        <v>22.5</v>
      </c>
      <c r="E47" s="15">
        <v>31.5</v>
      </c>
      <c r="F47" s="16">
        <v>16.159999999999997</v>
      </c>
      <c r="G47" s="15">
        <v>165</v>
      </c>
    </row>
    <row r="48" spans="1:7" ht="15.75" customHeight="1" x14ac:dyDescent="0.5">
      <c r="A48" s="13">
        <v>47</v>
      </c>
      <c r="B48" s="14">
        <f t="shared" si="0"/>
        <v>45042</v>
      </c>
      <c r="C48" s="15">
        <v>18.940000000000001</v>
      </c>
      <c r="D48" s="15">
        <v>9.9</v>
      </c>
      <c r="E48" s="15">
        <v>35.700000000000003</v>
      </c>
      <c r="F48" s="16">
        <v>19.64</v>
      </c>
      <c r="G48" s="15">
        <v>119</v>
      </c>
    </row>
    <row r="49" spans="1:7" ht="15.75" customHeight="1" x14ac:dyDescent="0.5">
      <c r="A49" s="13">
        <v>48</v>
      </c>
      <c r="B49" s="14">
        <f t="shared" si="0"/>
        <v>45043</v>
      </c>
      <c r="C49" s="15">
        <v>52.980000000000004</v>
      </c>
      <c r="D49" s="15">
        <v>41.5</v>
      </c>
      <c r="E49" s="15">
        <v>18.5</v>
      </c>
      <c r="F49" s="16">
        <v>37.340000000000003</v>
      </c>
      <c r="G49" s="15">
        <v>245</v>
      </c>
    </row>
    <row r="50" spans="1:7" ht="15.75" customHeight="1" x14ac:dyDescent="0.5">
      <c r="A50" s="13">
        <v>49</v>
      </c>
      <c r="B50" s="14">
        <f t="shared" si="0"/>
        <v>45044</v>
      </c>
      <c r="C50" s="15">
        <v>46.44</v>
      </c>
      <c r="D50" s="15">
        <v>15.8</v>
      </c>
      <c r="E50" s="15">
        <v>49.9</v>
      </c>
      <c r="F50" s="16">
        <v>10.659999999999997</v>
      </c>
      <c r="G50" s="15">
        <v>149</v>
      </c>
    </row>
    <row r="51" spans="1:7" ht="15.75" customHeight="1" x14ac:dyDescent="0.5">
      <c r="A51" s="13">
        <v>50</v>
      </c>
      <c r="B51" s="14">
        <f t="shared" si="0"/>
        <v>45045</v>
      </c>
      <c r="C51" s="15">
        <v>14.38</v>
      </c>
      <c r="D51" s="15">
        <v>11.7</v>
      </c>
      <c r="E51" s="15">
        <v>36.799999999999997</v>
      </c>
      <c r="F51" s="16">
        <v>17.82</v>
      </c>
      <c r="G51" s="15">
        <v>111</v>
      </c>
    </row>
    <row r="52" spans="1:7" ht="15.75" customHeight="1" x14ac:dyDescent="0.5">
      <c r="A52" s="13">
        <v>51</v>
      </c>
      <c r="B52" s="14">
        <f t="shared" si="0"/>
        <v>45046</v>
      </c>
      <c r="C52" s="15">
        <v>43.96</v>
      </c>
      <c r="D52" s="15">
        <v>3.1</v>
      </c>
      <c r="E52" s="15">
        <v>34.6</v>
      </c>
      <c r="F52" s="16">
        <v>7.6899999999999995</v>
      </c>
      <c r="G52" s="15">
        <v>122</v>
      </c>
    </row>
    <row r="53" spans="1:7" ht="15.75" customHeight="1" x14ac:dyDescent="0.5">
      <c r="A53" s="13">
        <v>52</v>
      </c>
      <c r="B53" s="14">
        <f t="shared" si="0"/>
        <v>45047</v>
      </c>
      <c r="C53" s="15">
        <v>29.080000000000002</v>
      </c>
      <c r="D53" s="15">
        <v>9.6</v>
      </c>
      <c r="E53" s="15">
        <v>3.6</v>
      </c>
      <c r="F53" s="16">
        <v>13.4</v>
      </c>
      <c r="G53" s="15">
        <v>112</v>
      </c>
    </row>
    <row r="54" spans="1:7" ht="15.75" customHeight="1" x14ac:dyDescent="0.5">
      <c r="A54" s="13">
        <v>53</v>
      </c>
      <c r="B54" s="14">
        <f t="shared" si="0"/>
        <v>45048</v>
      </c>
      <c r="C54" s="15">
        <v>44.28</v>
      </c>
      <c r="D54" s="15">
        <v>41.7</v>
      </c>
      <c r="E54" s="15">
        <v>39.6</v>
      </c>
      <c r="F54" s="16">
        <v>26.65</v>
      </c>
      <c r="G54" s="15">
        <v>235</v>
      </c>
    </row>
    <row r="55" spans="1:7" ht="15.75" customHeight="1" x14ac:dyDescent="0.5">
      <c r="A55" s="13">
        <v>54</v>
      </c>
      <c r="B55" s="14">
        <f t="shared" si="0"/>
        <v>45049</v>
      </c>
      <c r="C55" s="15">
        <v>41.519999999999996</v>
      </c>
      <c r="D55" s="15">
        <v>46.2</v>
      </c>
      <c r="E55" s="15">
        <v>58.7</v>
      </c>
      <c r="F55" s="16">
        <v>17.879999999999995</v>
      </c>
      <c r="G55" s="15">
        <v>225</v>
      </c>
    </row>
    <row r="56" spans="1:7" ht="15.75" customHeight="1" x14ac:dyDescent="0.5">
      <c r="A56" s="13">
        <v>55</v>
      </c>
      <c r="B56" s="14">
        <f t="shared" si="0"/>
        <v>45050</v>
      </c>
      <c r="C56" s="15">
        <v>62.54</v>
      </c>
      <c r="D56" s="15">
        <v>28.8</v>
      </c>
      <c r="E56" s="15">
        <v>15.9</v>
      </c>
      <c r="F56" s="16">
        <v>34.31</v>
      </c>
      <c r="G56" s="15">
        <v>220</v>
      </c>
    </row>
    <row r="57" spans="1:7" ht="15.75" customHeight="1" x14ac:dyDescent="0.5">
      <c r="A57" s="13">
        <v>56</v>
      </c>
      <c r="B57" s="14">
        <f t="shared" si="0"/>
        <v>45051</v>
      </c>
      <c r="C57" s="15">
        <v>40.78</v>
      </c>
      <c r="D57" s="15">
        <v>49.4</v>
      </c>
      <c r="E57" s="15">
        <v>60</v>
      </c>
      <c r="F57" s="16">
        <v>20.590000000000003</v>
      </c>
      <c r="G57" s="15">
        <v>240</v>
      </c>
    </row>
    <row r="58" spans="1:7" ht="15.75" customHeight="1" x14ac:dyDescent="0.5">
      <c r="A58" s="13">
        <v>57</v>
      </c>
      <c r="B58" s="14">
        <f t="shared" si="0"/>
        <v>45052</v>
      </c>
      <c r="C58" s="15">
        <v>3.46</v>
      </c>
      <c r="D58" s="15">
        <v>28.1</v>
      </c>
      <c r="E58" s="15">
        <v>41.4</v>
      </c>
      <c r="F58" s="16">
        <v>18.220000000000002</v>
      </c>
      <c r="G58" s="15">
        <v>71</v>
      </c>
    </row>
    <row r="59" spans="1:7" ht="15.75" customHeight="1" x14ac:dyDescent="0.5">
      <c r="A59" s="13">
        <v>58</v>
      </c>
      <c r="B59" s="14">
        <f t="shared" si="0"/>
        <v>45053</v>
      </c>
      <c r="C59" s="15">
        <v>33.239999999999995</v>
      </c>
      <c r="D59" s="15">
        <v>19.2</v>
      </c>
      <c r="E59" s="15">
        <v>16.600000000000001</v>
      </c>
      <c r="F59" s="16">
        <v>16.579999999999998</v>
      </c>
      <c r="G59" s="15">
        <v>133</v>
      </c>
    </row>
    <row r="60" spans="1:7" ht="15.75" customHeight="1" x14ac:dyDescent="0.5">
      <c r="A60" s="13">
        <v>59</v>
      </c>
      <c r="B60" s="14">
        <f t="shared" si="0"/>
        <v>45054</v>
      </c>
      <c r="C60" s="15">
        <v>49.160000000000004</v>
      </c>
      <c r="D60" s="15">
        <v>49.6</v>
      </c>
      <c r="E60" s="15">
        <v>37.700000000000003</v>
      </c>
      <c r="F60" s="16">
        <v>30.8</v>
      </c>
      <c r="G60" s="15">
        <v>239</v>
      </c>
    </row>
    <row r="61" spans="1:7" ht="15.75" customHeight="1" x14ac:dyDescent="0.5">
      <c r="A61" s="13">
        <v>60</v>
      </c>
      <c r="B61" s="14">
        <f t="shared" si="0"/>
        <v>45055</v>
      </c>
      <c r="C61" s="15">
        <v>50.14</v>
      </c>
      <c r="D61" s="15">
        <v>29.5</v>
      </c>
      <c r="E61" s="15">
        <v>9.3000000000000007</v>
      </c>
      <c r="F61" s="16">
        <v>32.1</v>
      </c>
      <c r="G61" s="15">
        <v>186</v>
      </c>
    </row>
    <row r="62" spans="1:7" ht="15.75" customHeight="1" x14ac:dyDescent="0.5">
      <c r="A62" s="13">
        <v>61</v>
      </c>
      <c r="B62" s="14">
        <f t="shared" si="0"/>
        <v>45056</v>
      </c>
      <c r="C62" s="15">
        <v>16.7</v>
      </c>
      <c r="D62" s="15">
        <v>2</v>
      </c>
      <c r="E62" s="15">
        <v>21.4</v>
      </c>
      <c r="F62" s="16">
        <v>17.79</v>
      </c>
      <c r="G62" s="15">
        <v>83</v>
      </c>
    </row>
    <row r="63" spans="1:7" ht="15.75" customHeight="1" x14ac:dyDescent="0.5">
      <c r="A63" s="13">
        <v>62</v>
      </c>
      <c r="B63" s="14">
        <f t="shared" si="0"/>
        <v>45057</v>
      </c>
      <c r="C63" s="15">
        <v>61.260000000000005</v>
      </c>
      <c r="D63" s="15">
        <v>42.7</v>
      </c>
      <c r="E63" s="15">
        <v>54.7</v>
      </c>
      <c r="F63" s="16">
        <v>25.6</v>
      </c>
      <c r="G63" s="15">
        <v>240</v>
      </c>
    </row>
    <row r="64" spans="1:7" ht="15.75" customHeight="1" x14ac:dyDescent="0.5">
      <c r="A64" s="13">
        <v>63</v>
      </c>
      <c r="B64" s="14">
        <f t="shared" si="0"/>
        <v>45058</v>
      </c>
      <c r="C64" s="15">
        <v>53.86</v>
      </c>
      <c r="D64" s="15">
        <v>15.5</v>
      </c>
      <c r="E64" s="15">
        <v>27.3</v>
      </c>
      <c r="F64" s="16">
        <v>20.759999999999998</v>
      </c>
      <c r="G64" s="15">
        <v>170</v>
      </c>
    </row>
    <row r="65" spans="1:7" ht="15.75" customHeight="1" x14ac:dyDescent="0.5">
      <c r="A65" s="13">
        <v>64</v>
      </c>
      <c r="B65" s="14">
        <f t="shared" si="0"/>
        <v>45059</v>
      </c>
      <c r="C65" s="15">
        <v>27.54</v>
      </c>
      <c r="D65" s="15">
        <v>29.6</v>
      </c>
      <c r="E65" s="15">
        <v>8.4</v>
      </c>
      <c r="F65" s="16">
        <v>21.71</v>
      </c>
      <c r="G65" s="15">
        <v>298.75</v>
      </c>
    </row>
    <row r="66" spans="1:7" ht="15.75" customHeight="1" x14ac:dyDescent="0.5">
      <c r="A66" s="13">
        <v>65</v>
      </c>
      <c r="B66" s="14">
        <f t="shared" si="0"/>
        <v>45060</v>
      </c>
      <c r="C66" s="15">
        <v>27.22</v>
      </c>
      <c r="D66" s="15">
        <v>42.8</v>
      </c>
      <c r="E66" s="15">
        <v>28.9</v>
      </c>
      <c r="F66" s="16">
        <v>22.949999999999996</v>
      </c>
      <c r="G66" s="15">
        <v>187</v>
      </c>
    </row>
    <row r="67" spans="1:7" ht="15.75" customHeight="1" x14ac:dyDescent="0.5">
      <c r="A67" s="13">
        <v>66</v>
      </c>
      <c r="B67" s="14">
        <f t="shared" si="0"/>
        <v>45061</v>
      </c>
      <c r="C67" s="15">
        <v>21.8</v>
      </c>
      <c r="D67" s="15">
        <v>9.3000000000000007</v>
      </c>
      <c r="E67" s="15">
        <v>0.9</v>
      </c>
      <c r="F67" s="16">
        <v>11.190000000000001</v>
      </c>
      <c r="G67" s="15">
        <v>109</v>
      </c>
    </row>
    <row r="68" spans="1:7" ht="15.75" customHeight="1" x14ac:dyDescent="0.5">
      <c r="A68" s="13">
        <v>67</v>
      </c>
      <c r="B68" s="14">
        <f t="shared" si="0"/>
        <v>45062</v>
      </c>
      <c r="C68" s="15">
        <v>15.3</v>
      </c>
      <c r="D68" s="15">
        <v>24.6</v>
      </c>
      <c r="E68" s="15">
        <v>2.2000000000000002</v>
      </c>
      <c r="F68" s="16">
        <v>14.57</v>
      </c>
      <c r="G68" s="15">
        <v>104</v>
      </c>
    </row>
    <row r="69" spans="1:7" ht="15.75" customHeight="1" x14ac:dyDescent="0.5">
      <c r="A69" s="13">
        <v>68</v>
      </c>
      <c r="B69" s="14">
        <f t="shared" si="0"/>
        <v>45063</v>
      </c>
      <c r="C69" s="15">
        <v>30.860000000000003</v>
      </c>
      <c r="D69" s="15">
        <v>14.5</v>
      </c>
      <c r="E69" s="15">
        <v>10.199999999999999</v>
      </c>
      <c r="F69" s="16">
        <v>17.100000000000001</v>
      </c>
      <c r="G69" s="15">
        <v>135</v>
      </c>
    </row>
    <row r="70" spans="1:7" ht="15.75" customHeight="1" x14ac:dyDescent="0.5">
      <c r="A70" s="13">
        <v>69</v>
      </c>
      <c r="B70" s="14">
        <f t="shared" si="0"/>
        <v>45064</v>
      </c>
      <c r="C70" s="15">
        <v>51.480000000000004</v>
      </c>
      <c r="D70" s="15">
        <v>27.5</v>
      </c>
      <c r="E70" s="15">
        <v>11</v>
      </c>
      <c r="F70" s="16">
        <v>33.090000000000003</v>
      </c>
      <c r="G70" s="15">
        <v>196</v>
      </c>
    </row>
    <row r="71" spans="1:7" ht="15.75" customHeight="1" x14ac:dyDescent="0.5">
      <c r="A71" s="13">
        <v>70</v>
      </c>
      <c r="B71" s="14">
        <f t="shared" si="0"/>
        <v>45065</v>
      </c>
      <c r="C71" s="15">
        <v>48.36</v>
      </c>
      <c r="D71" s="15">
        <v>43.9</v>
      </c>
      <c r="E71" s="15">
        <v>27.2</v>
      </c>
      <c r="F71" s="16">
        <v>32.749999999999993</v>
      </c>
      <c r="G71" s="15">
        <v>229</v>
      </c>
    </row>
    <row r="72" spans="1:7" ht="15.75" customHeight="1" x14ac:dyDescent="0.5">
      <c r="A72" s="13">
        <v>71</v>
      </c>
      <c r="B72" s="14">
        <f t="shared" si="0"/>
        <v>45066</v>
      </c>
      <c r="C72" s="15">
        <v>44.82</v>
      </c>
      <c r="D72" s="15">
        <v>30.6</v>
      </c>
      <c r="E72" s="15">
        <v>38.700000000000003</v>
      </c>
      <c r="F72" s="16">
        <v>19.729999999999997</v>
      </c>
      <c r="G72" s="15">
        <v>196</v>
      </c>
    </row>
    <row r="73" spans="1:7" ht="15.75" customHeight="1" x14ac:dyDescent="0.5">
      <c r="A73" s="13">
        <v>72</v>
      </c>
      <c r="B73" s="14">
        <f t="shared" si="0"/>
        <v>45067</v>
      </c>
      <c r="C73" s="15">
        <v>29.96</v>
      </c>
      <c r="D73" s="15">
        <v>14.3</v>
      </c>
      <c r="E73" s="15">
        <v>31.7</v>
      </c>
      <c r="F73" s="16">
        <v>5.4500000000000028</v>
      </c>
      <c r="G73" s="15">
        <v>129</v>
      </c>
    </row>
    <row r="74" spans="1:7" ht="15.75" customHeight="1" x14ac:dyDescent="0.5">
      <c r="A74" s="13">
        <v>73</v>
      </c>
      <c r="B74" s="14">
        <f t="shared" si="0"/>
        <v>45068</v>
      </c>
      <c r="C74" s="15">
        <v>15.36</v>
      </c>
      <c r="D74" s="15">
        <v>33</v>
      </c>
      <c r="E74" s="15">
        <v>19.3</v>
      </c>
      <c r="F74" s="16">
        <v>11.459999999999999</v>
      </c>
      <c r="G74" s="15">
        <v>106</v>
      </c>
    </row>
    <row r="75" spans="1:7" ht="15.75" customHeight="1" x14ac:dyDescent="0.5">
      <c r="A75" s="13">
        <v>74</v>
      </c>
      <c r="B75" s="14">
        <f t="shared" si="0"/>
        <v>45069</v>
      </c>
      <c r="C75" s="15">
        <v>28.880000000000003</v>
      </c>
      <c r="D75" s="15">
        <v>5.7</v>
      </c>
      <c r="E75" s="15">
        <v>31.3</v>
      </c>
      <c r="F75" s="16">
        <v>3.2699999999999996</v>
      </c>
      <c r="G75" s="15">
        <v>117</v>
      </c>
    </row>
    <row r="76" spans="1:7" ht="15.75" customHeight="1" x14ac:dyDescent="0.5">
      <c r="A76" s="13">
        <v>75</v>
      </c>
      <c r="B76" s="14">
        <f t="shared" si="0"/>
        <v>45070</v>
      </c>
      <c r="C76" s="15">
        <v>50.68</v>
      </c>
      <c r="D76" s="15">
        <v>0</v>
      </c>
      <c r="E76" s="15">
        <v>13.1</v>
      </c>
      <c r="F76" s="16">
        <v>28.4</v>
      </c>
      <c r="G76" s="15">
        <v>187</v>
      </c>
    </row>
    <row r="77" spans="1:7" ht="15.75" customHeight="1" x14ac:dyDescent="0.5">
      <c r="A77" s="13">
        <v>76</v>
      </c>
      <c r="B77" s="14">
        <f t="shared" si="0"/>
        <v>45071</v>
      </c>
      <c r="C77" s="15">
        <v>12.379999999999999</v>
      </c>
      <c r="D77" s="15">
        <v>43.7</v>
      </c>
      <c r="E77" s="15">
        <v>89.4</v>
      </c>
      <c r="F77" s="16">
        <v>7.7799999999999976</v>
      </c>
      <c r="G77" s="15">
        <v>105</v>
      </c>
    </row>
    <row r="78" spans="1:7" ht="15.75" customHeight="1" x14ac:dyDescent="0.5">
      <c r="A78" s="13">
        <v>77</v>
      </c>
      <c r="B78" s="14">
        <f t="shared" si="0"/>
        <v>45072</v>
      </c>
      <c r="C78" s="15">
        <v>13.5</v>
      </c>
      <c r="D78" s="15">
        <v>1.6</v>
      </c>
      <c r="E78" s="15">
        <v>20.7</v>
      </c>
      <c r="F78" s="16">
        <v>15.27</v>
      </c>
      <c r="G78" s="15">
        <v>83</v>
      </c>
    </row>
    <row r="79" spans="1:7" ht="15.75" customHeight="1" x14ac:dyDescent="0.5">
      <c r="A79" s="13">
        <v>78</v>
      </c>
      <c r="B79" s="14">
        <f t="shared" si="0"/>
        <v>45073</v>
      </c>
      <c r="C79" s="15">
        <v>25.1</v>
      </c>
      <c r="D79" s="15">
        <v>28.5</v>
      </c>
      <c r="E79" s="15">
        <v>14.2</v>
      </c>
      <c r="F79" s="16">
        <v>20.62</v>
      </c>
      <c r="G79" s="15">
        <v>149</v>
      </c>
    </row>
    <row r="80" spans="1:7" ht="15.75" customHeight="1" x14ac:dyDescent="0.5">
      <c r="A80" s="13">
        <v>79</v>
      </c>
      <c r="B80" s="14">
        <f t="shared" si="0"/>
        <v>45074</v>
      </c>
      <c r="C80" s="15">
        <v>8.08</v>
      </c>
      <c r="D80" s="15">
        <v>29.9</v>
      </c>
      <c r="E80" s="15">
        <v>9.4</v>
      </c>
      <c r="F80" s="16">
        <v>11.729999999999999</v>
      </c>
      <c r="G80" s="15">
        <v>62</v>
      </c>
    </row>
    <row r="81" spans="1:7" ht="15.75" customHeight="1" x14ac:dyDescent="0.5">
      <c r="A81" s="13">
        <v>80</v>
      </c>
      <c r="B81" s="14">
        <f t="shared" si="0"/>
        <v>45075</v>
      </c>
      <c r="C81" s="15">
        <v>31.2</v>
      </c>
      <c r="D81" s="15">
        <v>7.7</v>
      </c>
      <c r="E81" s="15">
        <v>23.1</v>
      </c>
      <c r="F81" s="16">
        <v>6.2099999999999991</v>
      </c>
      <c r="G81" s="15">
        <v>120</v>
      </c>
    </row>
    <row r="82" spans="1:7" ht="15.75" customHeight="1" x14ac:dyDescent="0.5">
      <c r="A82" s="13">
        <v>81</v>
      </c>
      <c r="B82" s="14">
        <f t="shared" si="0"/>
        <v>45076</v>
      </c>
      <c r="C82" s="15">
        <v>19.28</v>
      </c>
      <c r="D82" s="15">
        <v>26.7</v>
      </c>
      <c r="E82" s="15">
        <v>22.3</v>
      </c>
      <c r="F82" s="16">
        <v>12.070000000000002</v>
      </c>
      <c r="G82" s="15">
        <v>120</v>
      </c>
    </row>
    <row r="83" spans="1:7" ht="15.75" customHeight="1" x14ac:dyDescent="0.5">
      <c r="A83" s="13">
        <v>82</v>
      </c>
      <c r="B83" s="14">
        <f t="shared" si="0"/>
        <v>45077</v>
      </c>
      <c r="C83" s="15">
        <v>151.96</v>
      </c>
      <c r="D83" s="15">
        <v>4.0999999999999996</v>
      </c>
      <c r="E83" s="15">
        <v>36.9</v>
      </c>
      <c r="F83" s="16">
        <v>11.270000000000001</v>
      </c>
      <c r="G83" s="15">
        <v>128</v>
      </c>
    </row>
    <row r="84" spans="1:7" ht="15.75" customHeight="1" x14ac:dyDescent="0.5">
      <c r="A84" s="13">
        <v>83</v>
      </c>
      <c r="B84" s="14">
        <f t="shared" si="0"/>
        <v>45078</v>
      </c>
      <c r="C84" s="15">
        <v>18.059999999999999</v>
      </c>
      <c r="D84" s="15">
        <v>20.3</v>
      </c>
      <c r="E84" s="15">
        <v>32.5</v>
      </c>
      <c r="F84" s="16">
        <v>4.68</v>
      </c>
      <c r="G84" s="15">
        <v>128</v>
      </c>
    </row>
    <row r="85" spans="1:7" ht="15.75" customHeight="1" x14ac:dyDescent="0.5">
      <c r="A85" s="13">
        <v>84</v>
      </c>
      <c r="B85" s="14">
        <f t="shared" si="0"/>
        <v>45079</v>
      </c>
      <c r="C85" s="15">
        <v>22.68</v>
      </c>
      <c r="D85" s="15">
        <v>44.5</v>
      </c>
      <c r="E85" s="15">
        <v>35.6</v>
      </c>
      <c r="F85" s="16">
        <v>14.849999999999998</v>
      </c>
      <c r="G85" s="15">
        <v>149</v>
      </c>
    </row>
    <row r="86" spans="1:7" ht="15.75" customHeight="1" x14ac:dyDescent="0.5">
      <c r="A86" s="13">
        <v>85</v>
      </c>
      <c r="B86" s="14">
        <f t="shared" si="0"/>
        <v>45080</v>
      </c>
      <c r="C86" s="15">
        <v>45.7</v>
      </c>
      <c r="D86" s="15">
        <v>43</v>
      </c>
      <c r="E86" s="15">
        <v>33.799999999999997</v>
      </c>
      <c r="F86" s="16">
        <v>29.330000000000002</v>
      </c>
      <c r="G86" s="15">
        <v>223</v>
      </c>
    </row>
    <row r="87" spans="1:7" ht="15.75" customHeight="1" x14ac:dyDescent="0.5">
      <c r="A87" s="13">
        <v>86</v>
      </c>
      <c r="B87" s="14">
        <f t="shared" si="0"/>
        <v>45081</v>
      </c>
      <c r="C87" s="15">
        <v>42.64</v>
      </c>
      <c r="D87" s="15">
        <v>18.399999999999999</v>
      </c>
      <c r="E87" s="15">
        <v>65.7</v>
      </c>
      <c r="F87" s="16">
        <v>2.2399999999999984</v>
      </c>
      <c r="G87" s="15">
        <v>159</v>
      </c>
    </row>
    <row r="88" spans="1:7" ht="15.75" customHeight="1" x14ac:dyDescent="0.5">
      <c r="A88" s="13">
        <v>87</v>
      </c>
      <c r="B88" s="14">
        <f t="shared" si="0"/>
        <v>45082</v>
      </c>
      <c r="C88" s="15">
        <v>21.259999999999998</v>
      </c>
      <c r="D88" s="15">
        <v>27.5</v>
      </c>
      <c r="E88" s="15">
        <v>16</v>
      </c>
      <c r="F88" s="16">
        <v>14.979999999999999</v>
      </c>
      <c r="G88" s="15">
        <v>122</v>
      </c>
    </row>
    <row r="89" spans="1:7" ht="15.75" customHeight="1" x14ac:dyDescent="0.5">
      <c r="A89" s="13">
        <v>88</v>
      </c>
      <c r="B89" s="14">
        <f t="shared" si="0"/>
        <v>45083</v>
      </c>
      <c r="C89" s="15">
        <v>28.14</v>
      </c>
      <c r="D89" s="15">
        <v>40.6</v>
      </c>
      <c r="E89" s="15">
        <v>63.2</v>
      </c>
      <c r="F89" s="16">
        <v>6.09</v>
      </c>
      <c r="G89" s="15">
        <v>180</v>
      </c>
    </row>
    <row r="90" spans="1:7" ht="15.75" customHeight="1" x14ac:dyDescent="0.5">
      <c r="A90" s="13">
        <v>89</v>
      </c>
      <c r="B90" s="14">
        <f t="shared" si="0"/>
        <v>45084</v>
      </c>
      <c r="C90" s="15">
        <v>27.66</v>
      </c>
      <c r="D90" s="15">
        <v>225.5</v>
      </c>
      <c r="E90" s="15">
        <v>73.400000000000006</v>
      </c>
      <c r="F90" s="16">
        <v>12.219999999999995</v>
      </c>
      <c r="G90" s="15">
        <v>147</v>
      </c>
    </row>
    <row r="91" spans="1:7" ht="15.75" customHeight="1" x14ac:dyDescent="0.5">
      <c r="A91" s="13">
        <v>90</v>
      </c>
      <c r="B91" s="14">
        <f t="shared" si="0"/>
        <v>45085</v>
      </c>
      <c r="C91" s="15">
        <v>23.96</v>
      </c>
      <c r="D91" s="15">
        <v>47.8</v>
      </c>
      <c r="E91" s="15">
        <v>51.4</v>
      </c>
      <c r="F91" s="16">
        <v>14.319999999999993</v>
      </c>
      <c r="G91" s="15">
        <v>177</v>
      </c>
    </row>
    <row r="92" spans="1:7" ht="15.75" customHeight="1" x14ac:dyDescent="0.5">
      <c r="A92" s="13">
        <v>91</v>
      </c>
      <c r="B92" s="14">
        <f t="shared" si="0"/>
        <v>45086</v>
      </c>
      <c r="C92" s="15">
        <v>31.860000000000003</v>
      </c>
      <c r="D92" s="15">
        <v>4.9000000000000004</v>
      </c>
      <c r="E92" s="15">
        <v>9.3000000000000007</v>
      </c>
      <c r="F92" s="16">
        <v>12.160000000000002</v>
      </c>
      <c r="G92" s="15">
        <v>93</v>
      </c>
    </row>
    <row r="93" spans="1:7" ht="15.75" customHeight="1" x14ac:dyDescent="0.5">
      <c r="A93" s="13">
        <v>92</v>
      </c>
      <c r="B93" s="14">
        <f t="shared" si="0"/>
        <v>45087</v>
      </c>
      <c r="C93" s="15">
        <v>14.72</v>
      </c>
      <c r="D93" s="15">
        <v>1.5</v>
      </c>
      <c r="E93" s="15">
        <v>33</v>
      </c>
      <c r="F93" s="16">
        <v>10.41</v>
      </c>
      <c r="G93" s="15">
        <v>74</v>
      </c>
    </row>
    <row r="94" spans="1:7" ht="15.75" customHeight="1" x14ac:dyDescent="0.5">
      <c r="A94" s="13">
        <v>93</v>
      </c>
      <c r="B94" s="14">
        <f t="shared" si="0"/>
        <v>45088</v>
      </c>
      <c r="C94" s="15">
        <v>47.54</v>
      </c>
      <c r="D94" s="15">
        <v>33.5</v>
      </c>
      <c r="E94" s="15">
        <v>59</v>
      </c>
      <c r="F94" s="16">
        <v>14.919999999999995</v>
      </c>
      <c r="G94" s="15">
        <v>811</v>
      </c>
    </row>
    <row r="95" spans="1:7" ht="15.75" customHeight="1" x14ac:dyDescent="0.5">
      <c r="A95" s="13">
        <v>94</v>
      </c>
      <c r="B95" s="14">
        <f t="shared" si="0"/>
        <v>45089</v>
      </c>
      <c r="C95" s="15">
        <v>56.18</v>
      </c>
      <c r="D95" s="15">
        <v>36.5</v>
      </c>
      <c r="E95" s="15">
        <v>72.3</v>
      </c>
      <c r="F95" s="16">
        <v>14.420000000000002</v>
      </c>
      <c r="G95" s="15">
        <v>225</v>
      </c>
    </row>
    <row r="96" spans="1:7" ht="15.75" customHeight="1" x14ac:dyDescent="0.5">
      <c r="A96" s="13">
        <v>95</v>
      </c>
      <c r="B96" s="14">
        <f t="shared" si="0"/>
        <v>45090</v>
      </c>
      <c r="C96" s="15">
        <v>30.48</v>
      </c>
      <c r="D96" s="15">
        <v>14</v>
      </c>
      <c r="E96" s="15">
        <v>10.9</v>
      </c>
      <c r="F96" s="16">
        <v>13.380000000000003</v>
      </c>
      <c r="G96" s="15">
        <v>117</v>
      </c>
    </row>
    <row r="97" spans="1:7" ht="15.75" customHeight="1" x14ac:dyDescent="0.5">
      <c r="A97" s="13">
        <v>96</v>
      </c>
      <c r="B97" s="14">
        <f t="shared" si="0"/>
        <v>45091</v>
      </c>
      <c r="C97" s="15">
        <v>40.660000000000004</v>
      </c>
      <c r="D97" s="15">
        <v>31.6</v>
      </c>
      <c r="E97" s="15">
        <v>52.9</v>
      </c>
      <c r="F97" s="16">
        <v>10.970000000000002</v>
      </c>
      <c r="G97" s="15">
        <v>175</v>
      </c>
    </row>
    <row r="98" spans="1:7" ht="15.75" customHeight="1" x14ac:dyDescent="0.5">
      <c r="A98" s="13">
        <v>97</v>
      </c>
      <c r="B98" s="14">
        <f t="shared" si="0"/>
        <v>45092</v>
      </c>
      <c r="C98" s="15">
        <v>46.519999999999996</v>
      </c>
      <c r="D98" s="15">
        <v>3.5</v>
      </c>
      <c r="E98" s="15">
        <v>5.9</v>
      </c>
      <c r="F98" s="16">
        <v>19.149999999999999</v>
      </c>
      <c r="G98" s="15">
        <v>132</v>
      </c>
    </row>
    <row r="99" spans="1:7" ht="15.75" customHeight="1" x14ac:dyDescent="0.5">
      <c r="A99" s="13">
        <v>98</v>
      </c>
      <c r="B99" s="14">
        <f t="shared" si="0"/>
        <v>45093</v>
      </c>
      <c r="C99" s="15">
        <v>41.980000000000004</v>
      </c>
      <c r="D99" s="15">
        <v>21</v>
      </c>
      <c r="E99" s="15">
        <v>22</v>
      </c>
      <c r="F99" s="16">
        <v>20.190000000000001</v>
      </c>
      <c r="G99" s="15">
        <v>168</v>
      </c>
    </row>
    <row r="100" spans="1:7" ht="15.75" customHeight="1" x14ac:dyDescent="0.5">
      <c r="A100" s="13">
        <v>99</v>
      </c>
      <c r="B100" s="14">
        <f t="shared" si="0"/>
        <v>45094</v>
      </c>
      <c r="C100" s="15">
        <v>64.94</v>
      </c>
      <c r="D100" s="15">
        <v>42.3</v>
      </c>
      <c r="E100" s="15">
        <v>51.2</v>
      </c>
      <c r="F100" s="16">
        <v>29.639999999999993</v>
      </c>
      <c r="G100" s="15">
        <v>257</v>
      </c>
    </row>
    <row r="101" spans="1:7" ht="15.75" customHeight="1" x14ac:dyDescent="0.5">
      <c r="A101" s="13">
        <v>100</v>
      </c>
      <c r="B101" s="14">
        <f t="shared" si="0"/>
        <v>45095</v>
      </c>
      <c r="C101" s="15">
        <v>28.04</v>
      </c>
      <c r="D101" s="15">
        <v>41.7</v>
      </c>
      <c r="E101" s="15">
        <v>45.9</v>
      </c>
      <c r="F101" s="16">
        <v>16.010000000000005</v>
      </c>
      <c r="G101" s="15">
        <v>183</v>
      </c>
    </row>
    <row r="102" spans="1:7" ht="15.75" customHeight="1" x14ac:dyDescent="0.5">
      <c r="A102" s="13">
        <v>101</v>
      </c>
      <c r="B102" s="14">
        <f t="shared" si="0"/>
        <v>45096</v>
      </c>
      <c r="C102" s="15">
        <v>51.480000000000004</v>
      </c>
      <c r="D102" s="15">
        <v>4.3</v>
      </c>
      <c r="E102" s="15">
        <v>49.8</v>
      </c>
      <c r="F102" s="16">
        <v>4.4699999999999989</v>
      </c>
      <c r="G102" s="15">
        <v>137</v>
      </c>
    </row>
    <row r="103" spans="1:7" ht="15.75" customHeight="1" x14ac:dyDescent="0.5">
      <c r="A103" s="13">
        <v>102</v>
      </c>
      <c r="B103" s="14">
        <f t="shared" si="0"/>
        <v>45097</v>
      </c>
      <c r="C103" s="15">
        <v>63.279999999999994</v>
      </c>
      <c r="D103" s="15">
        <v>36.299999999999997</v>
      </c>
      <c r="E103" s="15">
        <v>93.625</v>
      </c>
      <c r="F103" s="16">
        <v>10.339999999999989</v>
      </c>
      <c r="G103" s="15">
        <v>254</v>
      </c>
    </row>
    <row r="104" spans="1:7" ht="15.75" customHeight="1" x14ac:dyDescent="0.5">
      <c r="A104" s="13">
        <v>103</v>
      </c>
      <c r="B104" s="14">
        <f t="shared" si="0"/>
        <v>45098</v>
      </c>
      <c r="C104" s="15">
        <v>64.039999999999992</v>
      </c>
      <c r="D104" s="15">
        <v>10.1</v>
      </c>
      <c r="E104" s="15">
        <v>21.4</v>
      </c>
      <c r="F104" s="16">
        <v>24.509999999999998</v>
      </c>
      <c r="G104" s="15">
        <v>158</v>
      </c>
    </row>
    <row r="105" spans="1:7" ht="15.75" customHeight="1" x14ac:dyDescent="0.5">
      <c r="A105" s="13">
        <v>104</v>
      </c>
      <c r="B105" s="14">
        <f t="shared" si="0"/>
        <v>45099</v>
      </c>
      <c r="C105" s="15">
        <v>38.58</v>
      </c>
      <c r="D105" s="15">
        <v>17.2</v>
      </c>
      <c r="E105" s="15">
        <v>17.899999999999999</v>
      </c>
      <c r="F105" s="16">
        <v>20.23</v>
      </c>
      <c r="G105" s="15">
        <v>163</v>
      </c>
    </row>
    <row r="106" spans="1:7" ht="15.75" customHeight="1" x14ac:dyDescent="0.5">
      <c r="A106" s="13">
        <v>105</v>
      </c>
      <c r="B106" s="14">
        <f t="shared" si="0"/>
        <v>45100</v>
      </c>
      <c r="C106" s="15">
        <v>54.64</v>
      </c>
      <c r="D106" s="15">
        <v>34.299999999999997</v>
      </c>
      <c r="E106" s="15">
        <v>5.3</v>
      </c>
      <c r="F106" s="16">
        <v>38.85</v>
      </c>
      <c r="G106" s="15">
        <v>208</v>
      </c>
    </row>
    <row r="107" spans="1:7" ht="15.75" customHeight="1" x14ac:dyDescent="0.5">
      <c r="A107" s="13">
        <v>106</v>
      </c>
      <c r="B107" s="14">
        <f t="shared" si="0"/>
        <v>45101</v>
      </c>
      <c r="C107" s="15">
        <v>37.58</v>
      </c>
      <c r="D107" s="15">
        <v>46.4</v>
      </c>
      <c r="E107" s="15">
        <v>59</v>
      </c>
      <c r="F107" s="16">
        <v>13.39</v>
      </c>
      <c r="G107" s="15">
        <v>196</v>
      </c>
    </row>
    <row r="108" spans="1:7" ht="15.75" customHeight="1" x14ac:dyDescent="0.5">
      <c r="A108" s="13">
        <v>107</v>
      </c>
      <c r="B108" s="14">
        <f t="shared" si="0"/>
        <v>45102</v>
      </c>
      <c r="C108" s="15">
        <v>8</v>
      </c>
      <c r="D108" s="15">
        <v>11</v>
      </c>
      <c r="E108" s="15">
        <v>29.7</v>
      </c>
      <c r="F108" s="16">
        <v>16.119999999999997</v>
      </c>
      <c r="G108" s="15">
        <v>86</v>
      </c>
    </row>
    <row r="109" spans="1:7" ht="15.75" customHeight="1" x14ac:dyDescent="0.5">
      <c r="A109" s="13">
        <v>108</v>
      </c>
      <c r="B109" s="14">
        <f t="shared" si="0"/>
        <v>45103</v>
      </c>
      <c r="C109" s="15">
        <v>27.080000000000002</v>
      </c>
      <c r="D109" s="15">
        <v>0.3</v>
      </c>
      <c r="E109" s="15">
        <v>23.2</v>
      </c>
      <c r="F109" s="16">
        <v>19.910000000000004</v>
      </c>
      <c r="G109" s="15">
        <v>104</v>
      </c>
    </row>
    <row r="110" spans="1:7" ht="15.75" customHeight="1" x14ac:dyDescent="0.5">
      <c r="A110" s="13">
        <v>109</v>
      </c>
      <c r="B110" s="14">
        <f t="shared" si="0"/>
        <v>45104</v>
      </c>
      <c r="C110" s="15">
        <v>9.620000000000001</v>
      </c>
      <c r="D110" s="15">
        <v>0.4</v>
      </c>
      <c r="E110" s="15">
        <v>25.6</v>
      </c>
      <c r="F110" s="16">
        <v>11.269999999999998</v>
      </c>
      <c r="G110" s="15">
        <v>54</v>
      </c>
    </row>
    <row r="111" spans="1:7" ht="15.75" customHeight="1" x14ac:dyDescent="0.5">
      <c r="A111" s="13">
        <v>110</v>
      </c>
      <c r="B111" s="14">
        <f t="shared" si="0"/>
        <v>45105</v>
      </c>
      <c r="C111" s="15">
        <v>53.08</v>
      </c>
      <c r="D111" s="15">
        <v>26.9</v>
      </c>
      <c r="E111" s="15">
        <v>5.5</v>
      </c>
      <c r="F111" s="16">
        <v>36.789999999999992</v>
      </c>
      <c r="G111" s="15"/>
    </row>
    <row r="112" spans="1:7" ht="15.75" customHeight="1" x14ac:dyDescent="0.5">
      <c r="A112" s="13">
        <v>111</v>
      </c>
      <c r="B112" s="14">
        <f t="shared" si="0"/>
        <v>45106</v>
      </c>
      <c r="C112" s="15">
        <v>54.160000000000004</v>
      </c>
      <c r="D112" s="15">
        <v>8.1999999999999993</v>
      </c>
      <c r="E112" s="15">
        <v>56.5</v>
      </c>
      <c r="F112" s="16">
        <v>4.0799999999999983</v>
      </c>
      <c r="G112" s="15">
        <v>150</v>
      </c>
    </row>
    <row r="113" spans="1:7" ht="15.75" customHeight="1" x14ac:dyDescent="0.5">
      <c r="A113" s="13">
        <v>112</v>
      </c>
      <c r="B113" s="14">
        <f t="shared" si="0"/>
        <v>45107</v>
      </c>
      <c r="C113" s="15">
        <v>55.339999999999996</v>
      </c>
      <c r="D113" s="15">
        <v>38</v>
      </c>
      <c r="E113" s="15">
        <v>23.2</v>
      </c>
      <c r="F113" s="16">
        <v>33.89</v>
      </c>
      <c r="G113" s="15">
        <v>221</v>
      </c>
    </row>
    <row r="114" spans="1:7" ht="15.75" customHeight="1" x14ac:dyDescent="0.5">
      <c r="A114" s="13">
        <v>113</v>
      </c>
      <c r="B114" s="14">
        <f t="shared" si="0"/>
        <v>45108</v>
      </c>
      <c r="C114" s="15">
        <v>39.14</v>
      </c>
      <c r="D114" s="15">
        <v>15.4</v>
      </c>
      <c r="E114" s="15">
        <v>2.4</v>
      </c>
      <c r="F114" s="16">
        <v>24.31</v>
      </c>
      <c r="G114" s="15">
        <v>159</v>
      </c>
    </row>
    <row r="115" spans="1:7" ht="15.75" customHeight="1" x14ac:dyDescent="0.5">
      <c r="A115" s="13">
        <v>114</v>
      </c>
      <c r="B115" s="14">
        <f t="shared" si="0"/>
        <v>45109</v>
      </c>
      <c r="C115" s="15">
        <v>44.92</v>
      </c>
      <c r="D115" s="15">
        <v>20.6</v>
      </c>
      <c r="E115" s="15">
        <v>10.7</v>
      </c>
      <c r="F115" s="16">
        <v>26.98</v>
      </c>
      <c r="G115" s="15">
        <v>167</v>
      </c>
    </row>
    <row r="116" spans="1:7" ht="15.75" customHeight="1" x14ac:dyDescent="0.5">
      <c r="A116" s="13">
        <v>115</v>
      </c>
      <c r="B116" s="14">
        <f t="shared" si="0"/>
        <v>45110</v>
      </c>
      <c r="C116" s="15">
        <v>18.64</v>
      </c>
      <c r="D116" s="15">
        <v>46.8</v>
      </c>
      <c r="E116" s="15">
        <v>34.5</v>
      </c>
      <c r="F116" s="16">
        <v>17.419999999999998</v>
      </c>
      <c r="G116" s="15">
        <v>152</v>
      </c>
    </row>
    <row r="117" spans="1:7" ht="15.75" customHeight="1" x14ac:dyDescent="0.5">
      <c r="A117" s="13">
        <v>116</v>
      </c>
      <c r="B117" s="14">
        <f t="shared" si="0"/>
        <v>45111</v>
      </c>
      <c r="C117" s="15">
        <v>24.02</v>
      </c>
      <c r="D117" s="15">
        <v>35</v>
      </c>
      <c r="E117" s="15">
        <v>52.7</v>
      </c>
      <c r="F117" s="16">
        <v>3.9299999999999962</v>
      </c>
      <c r="G117" s="15">
        <v>133</v>
      </c>
    </row>
    <row r="118" spans="1:7" ht="15.75" customHeight="1" x14ac:dyDescent="0.5">
      <c r="A118" s="13">
        <v>117</v>
      </c>
      <c r="B118" s="14">
        <f t="shared" si="0"/>
        <v>45112</v>
      </c>
      <c r="C118" s="15">
        <v>37.839999999999996</v>
      </c>
      <c r="D118" s="15">
        <v>14.3</v>
      </c>
      <c r="E118" s="15">
        <v>25.6</v>
      </c>
      <c r="F118" s="16">
        <v>10.829999999999998</v>
      </c>
      <c r="G118" s="15">
        <v>129</v>
      </c>
    </row>
    <row r="119" spans="1:7" ht="15.75" customHeight="1" x14ac:dyDescent="0.5">
      <c r="A119" s="13">
        <v>118</v>
      </c>
      <c r="B119" s="14">
        <f t="shared" si="0"/>
        <v>45113</v>
      </c>
      <c r="C119" s="15">
        <v>25.28</v>
      </c>
      <c r="D119" s="15">
        <v>0.8</v>
      </c>
      <c r="E119" s="15">
        <v>14.8</v>
      </c>
      <c r="F119" s="16">
        <v>2.12</v>
      </c>
      <c r="G119" s="15">
        <v>108</v>
      </c>
    </row>
    <row r="120" spans="1:7" ht="15.75" customHeight="1" x14ac:dyDescent="0.5">
      <c r="A120" s="13">
        <v>119</v>
      </c>
      <c r="B120" s="14">
        <f t="shared" si="0"/>
        <v>45114</v>
      </c>
      <c r="C120" s="15">
        <v>29.14</v>
      </c>
      <c r="D120" s="15">
        <v>36.9</v>
      </c>
      <c r="E120" s="15">
        <v>79.2</v>
      </c>
      <c r="F120" s="16">
        <v>19.339999999999996</v>
      </c>
      <c r="G120" s="15">
        <v>172</v>
      </c>
    </row>
    <row r="121" spans="1:7" ht="15.75" customHeight="1" x14ac:dyDescent="0.5">
      <c r="A121" s="13">
        <v>120</v>
      </c>
      <c r="B121" s="14">
        <f t="shared" si="0"/>
        <v>45115</v>
      </c>
      <c r="C121" s="15">
        <v>9.879999999999999</v>
      </c>
      <c r="D121" s="15">
        <v>16</v>
      </c>
      <c r="E121" s="15">
        <v>22.3</v>
      </c>
      <c r="F121" s="16">
        <v>1.0199999999999996</v>
      </c>
      <c r="G121" s="15">
        <v>77</v>
      </c>
    </row>
    <row r="122" spans="1:7" ht="15.75" customHeight="1" x14ac:dyDescent="0.5">
      <c r="A122" s="13">
        <v>121</v>
      </c>
      <c r="B122" s="14">
        <f t="shared" si="0"/>
        <v>45116</v>
      </c>
      <c r="C122" s="15">
        <v>36.260000000000005</v>
      </c>
      <c r="D122" s="15">
        <v>26.8</v>
      </c>
      <c r="E122" s="15">
        <v>46.2</v>
      </c>
      <c r="F122" s="16">
        <v>9.0500000000000007</v>
      </c>
      <c r="G122" s="15">
        <v>163</v>
      </c>
    </row>
    <row r="123" spans="1:7" ht="15.75" customHeight="1" x14ac:dyDescent="0.5">
      <c r="A123" s="13">
        <v>122</v>
      </c>
      <c r="B123" s="14">
        <f t="shared" si="0"/>
        <v>45117</v>
      </c>
      <c r="C123" s="15">
        <v>7.76</v>
      </c>
      <c r="D123" s="15">
        <v>21.7</v>
      </c>
      <c r="E123" s="15">
        <v>50.4</v>
      </c>
      <c r="F123" s="16">
        <v>12.57</v>
      </c>
      <c r="G123" s="15">
        <v>81</v>
      </c>
    </row>
    <row r="124" spans="1:7" ht="15.75" customHeight="1" x14ac:dyDescent="0.5">
      <c r="A124" s="13">
        <v>123</v>
      </c>
      <c r="B124" s="14">
        <f t="shared" si="0"/>
        <v>45118</v>
      </c>
      <c r="C124" s="15">
        <v>45.8</v>
      </c>
      <c r="D124" s="15">
        <v>2.4</v>
      </c>
      <c r="E124" s="15">
        <v>15.6</v>
      </c>
      <c r="F124" s="16">
        <v>17.36</v>
      </c>
      <c r="G124" s="15">
        <v>125</v>
      </c>
    </row>
    <row r="125" spans="1:7" ht="15.75" customHeight="1" x14ac:dyDescent="0.5">
      <c r="A125" s="13">
        <v>124</v>
      </c>
      <c r="B125" s="14">
        <f t="shared" si="0"/>
        <v>45119</v>
      </c>
      <c r="C125" s="15">
        <v>33.619999999999997</v>
      </c>
      <c r="D125" s="15">
        <v>34.6</v>
      </c>
      <c r="E125" s="15">
        <v>12.4</v>
      </c>
      <c r="F125" s="16">
        <v>24.65</v>
      </c>
      <c r="G125" s="15">
        <v>171</v>
      </c>
    </row>
    <row r="126" spans="1:7" ht="15.75" customHeight="1" x14ac:dyDescent="0.5">
      <c r="A126" s="13">
        <v>125</v>
      </c>
      <c r="B126" s="14">
        <f t="shared" si="0"/>
        <v>45120</v>
      </c>
      <c r="C126" s="15">
        <v>51.9</v>
      </c>
      <c r="D126" s="15">
        <v>32.299999999999997</v>
      </c>
      <c r="E126" s="15">
        <v>74.2</v>
      </c>
      <c r="F126" s="16">
        <v>9.419999999999991</v>
      </c>
      <c r="G126" s="15">
        <v>201</v>
      </c>
    </row>
    <row r="127" spans="1:7" ht="15.75" customHeight="1" x14ac:dyDescent="0.5">
      <c r="A127" s="13">
        <v>126</v>
      </c>
      <c r="B127" s="14">
        <f t="shared" si="0"/>
        <v>45121</v>
      </c>
      <c r="C127" s="15">
        <v>18.440000000000001</v>
      </c>
      <c r="D127" s="15">
        <v>11.8</v>
      </c>
      <c r="E127" s="15">
        <v>25.9</v>
      </c>
      <c r="F127" s="16">
        <v>4.2600000000000016</v>
      </c>
      <c r="G127" s="15">
        <v>126</v>
      </c>
    </row>
    <row r="128" spans="1:7" ht="15.75" customHeight="1" x14ac:dyDescent="0.5">
      <c r="A128" s="13">
        <v>127</v>
      </c>
      <c r="B128" s="14">
        <f t="shared" si="0"/>
        <v>45122</v>
      </c>
      <c r="C128" s="15">
        <v>8.56</v>
      </c>
      <c r="D128" s="15">
        <v>38.9</v>
      </c>
      <c r="E128" s="15">
        <v>50.6</v>
      </c>
      <c r="F128" s="16">
        <v>19.989999999999998</v>
      </c>
      <c r="G128" s="15">
        <v>78</v>
      </c>
    </row>
    <row r="129" spans="1:7" ht="15.75" customHeight="1" x14ac:dyDescent="0.5">
      <c r="A129" s="13">
        <v>128</v>
      </c>
      <c r="B129" s="14">
        <f t="shared" si="0"/>
        <v>45123</v>
      </c>
      <c r="C129" s="15">
        <v>71.06</v>
      </c>
      <c r="D129" s="15"/>
      <c r="E129" s="15">
        <v>9.1999999999999993</v>
      </c>
      <c r="F129" s="16">
        <v>31.35</v>
      </c>
      <c r="G129" s="15">
        <v>92</v>
      </c>
    </row>
    <row r="130" spans="1:7" ht="15.75" customHeight="1" x14ac:dyDescent="0.5">
      <c r="A130" s="13">
        <v>129</v>
      </c>
      <c r="B130" s="14">
        <f t="shared" si="0"/>
        <v>45124</v>
      </c>
      <c r="C130" s="15">
        <v>54.06</v>
      </c>
      <c r="D130" s="15">
        <v>49</v>
      </c>
      <c r="E130" s="15">
        <v>3.2</v>
      </c>
      <c r="F130" s="16">
        <v>45.25</v>
      </c>
      <c r="G130" s="15">
        <v>264</v>
      </c>
    </row>
    <row r="131" spans="1:7" ht="15.75" customHeight="1" x14ac:dyDescent="0.5">
      <c r="A131" s="13">
        <v>130</v>
      </c>
      <c r="B131" s="14">
        <f t="shared" si="0"/>
        <v>45125</v>
      </c>
      <c r="C131" s="15">
        <v>18.920000000000002</v>
      </c>
      <c r="D131" s="15">
        <v>12</v>
      </c>
      <c r="E131" s="15">
        <v>43.1</v>
      </c>
      <c r="F131" s="16">
        <v>14.719999999999999</v>
      </c>
      <c r="G131" s="15">
        <v>116</v>
      </c>
    </row>
    <row r="132" spans="1:7" ht="15.75" customHeight="1" x14ac:dyDescent="0.5">
      <c r="A132" s="13">
        <v>131</v>
      </c>
      <c r="B132" s="14">
        <f t="shared" si="0"/>
        <v>45126</v>
      </c>
      <c r="C132" s="15">
        <v>6</v>
      </c>
      <c r="D132" s="15">
        <v>39.6</v>
      </c>
      <c r="E132" s="15">
        <v>8.6999999999999993</v>
      </c>
      <c r="F132" s="16">
        <v>111</v>
      </c>
      <c r="G132" s="15">
        <v>28</v>
      </c>
    </row>
    <row r="133" spans="1:7" ht="15.75" customHeight="1" x14ac:dyDescent="0.5">
      <c r="A133" s="13">
        <v>132</v>
      </c>
      <c r="B133" s="14">
        <f t="shared" si="0"/>
        <v>45127</v>
      </c>
      <c r="C133" s="15">
        <v>55.04</v>
      </c>
      <c r="D133" s="15">
        <v>2.9</v>
      </c>
      <c r="E133" s="15">
        <v>43</v>
      </c>
      <c r="F133" s="16">
        <v>10.77</v>
      </c>
      <c r="G133" s="15">
        <v>147</v>
      </c>
    </row>
    <row r="134" spans="1:7" ht="15.75" customHeight="1" x14ac:dyDescent="0.5">
      <c r="A134" s="13">
        <v>133</v>
      </c>
      <c r="B134" s="14">
        <f t="shared" si="0"/>
        <v>45128</v>
      </c>
      <c r="C134" s="15">
        <v>5.68</v>
      </c>
      <c r="D134" s="15">
        <v>27.2</v>
      </c>
      <c r="E134" s="15">
        <v>2.1</v>
      </c>
      <c r="F134" s="16">
        <v>13.6</v>
      </c>
      <c r="G134" s="15">
        <v>71</v>
      </c>
    </row>
    <row r="135" spans="1:7" ht="15.75" customHeight="1" x14ac:dyDescent="0.5">
      <c r="A135" s="13">
        <v>134</v>
      </c>
      <c r="B135" s="14">
        <f t="shared" si="0"/>
        <v>45129</v>
      </c>
      <c r="C135" s="15">
        <v>45.96</v>
      </c>
      <c r="D135" s="15">
        <v>33.5</v>
      </c>
      <c r="E135" s="15">
        <v>45.1</v>
      </c>
      <c r="F135" s="16">
        <v>20.69</v>
      </c>
      <c r="G135" s="15"/>
    </row>
    <row r="136" spans="1:7" ht="15.75" customHeight="1" x14ac:dyDescent="0.5">
      <c r="A136" s="13">
        <v>135</v>
      </c>
      <c r="B136" s="14">
        <f t="shared" si="0"/>
        <v>45130</v>
      </c>
      <c r="C136" s="15">
        <v>14.379999999999999</v>
      </c>
      <c r="D136" s="15">
        <v>38.6</v>
      </c>
      <c r="E136" s="15">
        <v>65.599999999999994</v>
      </c>
      <c r="F136" s="16">
        <v>16.750000000000004</v>
      </c>
      <c r="G136" s="15">
        <v>124</v>
      </c>
    </row>
    <row r="137" spans="1:7" ht="15.75" customHeight="1" x14ac:dyDescent="0.5">
      <c r="A137" s="13">
        <v>136</v>
      </c>
      <c r="B137" s="14">
        <f t="shared" si="0"/>
        <v>45131</v>
      </c>
      <c r="C137" s="15">
        <v>14.66</v>
      </c>
      <c r="D137" s="15">
        <v>47</v>
      </c>
      <c r="E137" s="15">
        <v>8.5</v>
      </c>
      <c r="F137" s="16">
        <v>24.93</v>
      </c>
      <c r="G137" s="15">
        <v>124</v>
      </c>
    </row>
    <row r="138" spans="1:7" ht="15.75" customHeight="1" x14ac:dyDescent="0.5">
      <c r="A138" s="13">
        <v>137</v>
      </c>
      <c r="B138" s="14">
        <f t="shared" si="0"/>
        <v>45132</v>
      </c>
      <c r="C138" s="15">
        <v>10.120000000000001</v>
      </c>
      <c r="D138" s="15">
        <v>39</v>
      </c>
      <c r="E138" s="15">
        <v>9.3000000000000007</v>
      </c>
      <c r="F138" s="16">
        <v>18.339999999999996</v>
      </c>
      <c r="G138" s="15">
        <v>98</v>
      </c>
    </row>
    <row r="139" spans="1:7" ht="15.75" customHeight="1" x14ac:dyDescent="0.5">
      <c r="A139" s="13">
        <v>138</v>
      </c>
      <c r="B139" s="14">
        <f t="shared" si="0"/>
        <v>45133</v>
      </c>
      <c r="C139" s="15">
        <v>58.739999999999995</v>
      </c>
      <c r="D139" s="15">
        <v>28.9</v>
      </c>
      <c r="E139" s="15">
        <v>59.7</v>
      </c>
      <c r="F139" s="16">
        <v>17.939999999999991</v>
      </c>
      <c r="G139" s="15">
        <v>210</v>
      </c>
    </row>
    <row r="140" spans="1:7" ht="15.75" customHeight="1" x14ac:dyDescent="0.5">
      <c r="A140" s="13">
        <v>139</v>
      </c>
      <c r="B140" s="14">
        <f t="shared" si="0"/>
        <v>45134</v>
      </c>
      <c r="C140" s="15">
        <v>9.6</v>
      </c>
      <c r="D140" s="15">
        <v>25.9</v>
      </c>
      <c r="E140" s="15">
        <v>20.5</v>
      </c>
      <c r="F140" s="16">
        <v>9.0499999999999989</v>
      </c>
      <c r="G140" s="15">
        <v>109</v>
      </c>
    </row>
    <row r="141" spans="1:7" ht="15.75" customHeight="1" x14ac:dyDescent="0.5">
      <c r="A141" s="13">
        <v>140</v>
      </c>
      <c r="B141" s="14">
        <f t="shared" si="0"/>
        <v>45135</v>
      </c>
      <c r="C141" s="15">
        <v>196.98</v>
      </c>
      <c r="D141" s="15">
        <v>43.9</v>
      </c>
      <c r="E141" s="15">
        <v>1.7</v>
      </c>
      <c r="F141" s="16">
        <v>39.76</v>
      </c>
      <c r="G141" s="15">
        <v>227</v>
      </c>
    </row>
    <row r="142" spans="1:7" ht="15.75" customHeight="1" x14ac:dyDescent="0.5">
      <c r="A142" s="13">
        <v>141</v>
      </c>
      <c r="B142" s="14">
        <f t="shared" si="0"/>
        <v>45136</v>
      </c>
      <c r="C142" s="15"/>
      <c r="D142" s="15">
        <v>17</v>
      </c>
      <c r="E142" s="15">
        <v>12.9</v>
      </c>
      <c r="F142" s="16">
        <v>10.68</v>
      </c>
      <c r="G142" s="15">
        <v>113</v>
      </c>
    </row>
    <row r="143" spans="1:7" ht="15.75" customHeight="1" x14ac:dyDescent="0.5">
      <c r="A143" s="13">
        <v>142</v>
      </c>
      <c r="B143" s="14">
        <f t="shared" si="0"/>
        <v>45137</v>
      </c>
      <c r="C143" s="15"/>
      <c r="D143" s="15">
        <v>35.4</v>
      </c>
      <c r="E143" s="15">
        <v>75.599999999999994</v>
      </c>
      <c r="F143" s="16">
        <v>6.8299999999999947</v>
      </c>
      <c r="G143" s="15">
        <v>207</v>
      </c>
    </row>
    <row r="144" spans="1:7" ht="15.75" customHeight="1" x14ac:dyDescent="0.5">
      <c r="A144" s="13">
        <v>143</v>
      </c>
      <c r="B144" s="14">
        <f t="shared" si="0"/>
        <v>45138</v>
      </c>
      <c r="C144" s="15">
        <v>50.1</v>
      </c>
      <c r="D144" s="15">
        <v>33.200000000000003</v>
      </c>
      <c r="E144" s="15">
        <v>37.9</v>
      </c>
      <c r="F144" s="16">
        <v>23.490000000000006</v>
      </c>
      <c r="G144" s="15">
        <v>218</v>
      </c>
    </row>
    <row r="145" spans="1:7" ht="15.75" customHeight="1" x14ac:dyDescent="0.5">
      <c r="A145" s="13">
        <v>144</v>
      </c>
      <c r="B145" s="14">
        <f t="shared" si="0"/>
        <v>45139</v>
      </c>
      <c r="C145" s="15">
        <v>28.919999999999998</v>
      </c>
      <c r="D145" s="15">
        <v>5.7</v>
      </c>
      <c r="E145" s="15">
        <v>34.4</v>
      </c>
      <c r="F145" s="16">
        <v>19.549999999999997</v>
      </c>
      <c r="G145" s="15"/>
    </row>
    <row r="146" spans="1:7" ht="15.75" customHeight="1" x14ac:dyDescent="0.5">
      <c r="A146" s="13">
        <v>145</v>
      </c>
      <c r="B146" s="14">
        <f t="shared" si="0"/>
        <v>45140</v>
      </c>
      <c r="C146" s="15">
        <v>29.240000000000002</v>
      </c>
      <c r="D146" s="15">
        <v>14.8</v>
      </c>
      <c r="E146" s="15">
        <v>38.9</v>
      </c>
      <c r="F146" s="16">
        <v>1.4600000000000026</v>
      </c>
      <c r="G146" s="15">
        <v>127</v>
      </c>
    </row>
    <row r="147" spans="1:7" ht="15.75" customHeight="1" x14ac:dyDescent="0.5">
      <c r="A147" s="13">
        <v>146</v>
      </c>
      <c r="B147" s="14">
        <f t="shared" si="0"/>
        <v>45141</v>
      </c>
      <c r="C147" s="15">
        <v>31.060000000000002</v>
      </c>
      <c r="D147" s="15">
        <v>1.9</v>
      </c>
      <c r="E147" s="15">
        <v>9</v>
      </c>
      <c r="F147" s="16">
        <v>11.38</v>
      </c>
      <c r="G147" s="15">
        <v>123</v>
      </c>
    </row>
    <row r="148" spans="1:7" ht="15.75" customHeight="1" x14ac:dyDescent="0.5">
      <c r="A148" s="13">
        <v>147</v>
      </c>
      <c r="B148" s="14">
        <f t="shared" si="0"/>
        <v>45142</v>
      </c>
      <c r="C148" s="15">
        <v>55.019999999999996</v>
      </c>
      <c r="D148" s="15">
        <v>7.3</v>
      </c>
      <c r="E148" s="15">
        <v>8.6999999999999993</v>
      </c>
      <c r="F148" s="16">
        <v>24.179999999999996</v>
      </c>
      <c r="G148" s="15">
        <v>142</v>
      </c>
    </row>
    <row r="149" spans="1:7" ht="15.75" customHeight="1" x14ac:dyDescent="0.5">
      <c r="A149" s="13">
        <v>148</v>
      </c>
      <c r="B149" s="14">
        <f t="shared" si="0"/>
        <v>45143</v>
      </c>
      <c r="C149" s="15">
        <v>50.64</v>
      </c>
      <c r="D149" s="15">
        <v>49</v>
      </c>
      <c r="E149" s="15">
        <v>44.3</v>
      </c>
      <c r="F149" s="16">
        <v>31.1</v>
      </c>
      <c r="G149" s="15">
        <v>265</v>
      </c>
    </row>
    <row r="150" spans="1:7" ht="15.75" customHeight="1" x14ac:dyDescent="0.5">
      <c r="A150" s="13">
        <v>149</v>
      </c>
      <c r="B150" s="14">
        <f t="shared" si="0"/>
        <v>45144</v>
      </c>
      <c r="C150" s="15">
        <v>15.6</v>
      </c>
      <c r="D150" s="15">
        <v>40.299999999999997</v>
      </c>
      <c r="E150" s="15">
        <v>11.9</v>
      </c>
      <c r="F150" s="16">
        <v>19.189999999999998</v>
      </c>
      <c r="G150" s="15">
        <v>110</v>
      </c>
    </row>
    <row r="151" spans="1:7" ht="15.75" customHeight="1" x14ac:dyDescent="0.5">
      <c r="A151" s="13">
        <v>150</v>
      </c>
      <c r="B151" s="14">
        <f t="shared" si="0"/>
        <v>45145</v>
      </c>
      <c r="C151" s="15">
        <v>164</v>
      </c>
      <c r="D151" s="15">
        <v>25.8</v>
      </c>
      <c r="E151" s="15">
        <v>20.6</v>
      </c>
      <c r="F151" s="16">
        <v>9.1300000000000008</v>
      </c>
      <c r="G151" s="15">
        <v>118</v>
      </c>
    </row>
    <row r="152" spans="1:7" ht="15.75" customHeight="1" x14ac:dyDescent="0.5">
      <c r="A152" s="13">
        <v>151</v>
      </c>
      <c r="B152" s="14">
        <f t="shared" si="0"/>
        <v>45146</v>
      </c>
      <c r="C152" s="15">
        <v>66.14</v>
      </c>
      <c r="D152" s="15">
        <v>13.9</v>
      </c>
      <c r="E152" s="15">
        <v>37</v>
      </c>
      <c r="F152" s="16">
        <v>20.220000000000002</v>
      </c>
      <c r="G152" s="15">
        <v>166</v>
      </c>
    </row>
    <row r="153" spans="1:7" ht="15.75" customHeight="1" x14ac:dyDescent="0.5">
      <c r="A153" s="13">
        <v>152</v>
      </c>
      <c r="B153" s="14">
        <f t="shared" si="0"/>
        <v>45147</v>
      </c>
      <c r="C153" s="15">
        <v>31.2</v>
      </c>
      <c r="D153" s="15">
        <v>8.4</v>
      </c>
      <c r="E153" s="15">
        <v>48.7</v>
      </c>
      <c r="F153" s="16">
        <v>16.819999999999997</v>
      </c>
      <c r="G153" s="15">
        <v>125</v>
      </c>
    </row>
    <row r="154" spans="1:7" ht="15.75" customHeight="1" x14ac:dyDescent="0.5">
      <c r="A154" s="13">
        <v>153</v>
      </c>
      <c r="B154" s="14">
        <f t="shared" si="0"/>
        <v>45148</v>
      </c>
      <c r="C154" s="15">
        <v>40.519999999999996</v>
      </c>
      <c r="D154" s="15">
        <v>23.3</v>
      </c>
      <c r="E154" s="15">
        <v>14.2</v>
      </c>
      <c r="F154" s="16">
        <v>25.729999999999997</v>
      </c>
      <c r="G154" s="15">
        <v>169</v>
      </c>
    </row>
    <row r="155" spans="1:7" ht="15.75" customHeight="1" x14ac:dyDescent="0.5">
      <c r="A155" s="13">
        <v>154</v>
      </c>
      <c r="B155" s="14">
        <f t="shared" si="0"/>
        <v>45149</v>
      </c>
      <c r="C155" s="15">
        <v>37.260000000000005</v>
      </c>
      <c r="D155" s="15">
        <v>39.700000000000003</v>
      </c>
      <c r="E155" s="15">
        <v>37.700000000000003</v>
      </c>
      <c r="F155" s="16">
        <v>21.900000000000002</v>
      </c>
      <c r="G155" s="15">
        <v>208</v>
      </c>
    </row>
    <row r="156" spans="1:7" ht="15.75" customHeight="1" x14ac:dyDescent="0.5">
      <c r="A156" s="13">
        <v>155</v>
      </c>
      <c r="B156" s="14">
        <f t="shared" si="0"/>
        <v>45150</v>
      </c>
      <c r="C156" s="15">
        <v>43.56</v>
      </c>
      <c r="D156" s="15">
        <v>21.1</v>
      </c>
      <c r="E156" s="15">
        <v>9.5</v>
      </c>
      <c r="F156" s="16">
        <v>25.53</v>
      </c>
      <c r="G156" s="15">
        <v>166</v>
      </c>
    </row>
    <row r="157" spans="1:7" ht="15.75" customHeight="1" x14ac:dyDescent="0.5">
      <c r="A157" s="13">
        <v>156</v>
      </c>
      <c r="B157" s="14">
        <f t="shared" si="0"/>
        <v>45151</v>
      </c>
      <c r="C157" s="15">
        <v>9.82</v>
      </c>
      <c r="D157" s="15">
        <v>11.6</v>
      </c>
      <c r="E157" s="15">
        <v>5.7</v>
      </c>
      <c r="F157" s="16">
        <v>92</v>
      </c>
      <c r="G157" s="15">
        <v>35</v>
      </c>
    </row>
    <row r="158" spans="1:7" ht="15.75" customHeight="1" x14ac:dyDescent="0.5">
      <c r="A158" s="13">
        <v>157</v>
      </c>
      <c r="B158" s="14">
        <f t="shared" si="0"/>
        <v>45152</v>
      </c>
      <c r="C158" s="15">
        <v>25.78</v>
      </c>
      <c r="D158" s="15">
        <v>43.5</v>
      </c>
      <c r="E158" s="15">
        <v>50.5</v>
      </c>
      <c r="F158" s="16">
        <v>10.939999999999998</v>
      </c>
      <c r="G158" s="15">
        <v>173</v>
      </c>
    </row>
    <row r="159" spans="1:7" ht="15.75" customHeight="1" x14ac:dyDescent="0.5">
      <c r="A159" s="13">
        <v>158</v>
      </c>
      <c r="B159" s="14">
        <f t="shared" si="0"/>
        <v>45153</v>
      </c>
      <c r="C159" s="15">
        <v>39.96</v>
      </c>
      <c r="D159" s="15">
        <v>1.3</v>
      </c>
      <c r="E159" s="15">
        <v>24.3</v>
      </c>
      <c r="F159" s="16">
        <v>5.91</v>
      </c>
      <c r="G159" s="15">
        <v>111</v>
      </c>
    </row>
    <row r="160" spans="1:7" ht="15.75" customHeight="1" x14ac:dyDescent="0.5">
      <c r="A160" s="13">
        <v>159</v>
      </c>
      <c r="B160" s="14">
        <f t="shared" si="0"/>
        <v>45154</v>
      </c>
      <c r="C160" s="15">
        <v>12.34</v>
      </c>
      <c r="D160" s="15">
        <v>36.9</v>
      </c>
      <c r="E160" s="15">
        <v>45.2</v>
      </c>
      <c r="F160" s="16">
        <v>1.5399999999999956</v>
      </c>
      <c r="G160" s="15">
        <v>85</v>
      </c>
    </row>
    <row r="161" spans="1:7" ht="15.75" customHeight="1" x14ac:dyDescent="0.5">
      <c r="A161" s="13">
        <v>160</v>
      </c>
      <c r="B161" s="14">
        <f t="shared" si="0"/>
        <v>45155</v>
      </c>
      <c r="C161" s="15">
        <v>32.339999999999996</v>
      </c>
      <c r="D161" s="15">
        <v>18.399999999999999</v>
      </c>
      <c r="E161" s="15">
        <v>34.6</v>
      </c>
      <c r="F161" s="16">
        <v>8.5299999999999958</v>
      </c>
      <c r="G161" s="15">
        <v>138</v>
      </c>
    </row>
    <row r="162" spans="1:7" ht="15.75" customHeight="1" x14ac:dyDescent="0.5">
      <c r="A162" s="13">
        <v>161</v>
      </c>
      <c r="B162" s="14">
        <f t="shared" si="0"/>
        <v>45156</v>
      </c>
      <c r="C162" s="15">
        <v>44.5</v>
      </c>
      <c r="D162" s="15">
        <v>18.100000000000001</v>
      </c>
      <c r="E162" s="15">
        <v>30.7</v>
      </c>
      <c r="F162" s="16">
        <v>14.02</v>
      </c>
      <c r="G162" s="15">
        <v>159</v>
      </c>
    </row>
    <row r="163" spans="1:7" ht="15.75" customHeight="1" x14ac:dyDescent="0.5">
      <c r="A163" s="13">
        <v>162</v>
      </c>
      <c r="B163" s="14">
        <f t="shared" si="0"/>
        <v>45157</v>
      </c>
      <c r="C163" s="15">
        <v>19.14</v>
      </c>
      <c r="D163" s="15">
        <v>35.799999999999997</v>
      </c>
      <c r="E163" s="15">
        <v>49.3</v>
      </c>
      <c r="F163" s="16">
        <v>6.75</v>
      </c>
      <c r="G163" s="15">
        <v>151</v>
      </c>
    </row>
    <row r="164" spans="1:7" ht="15.75" customHeight="1" x14ac:dyDescent="0.5">
      <c r="A164" s="13">
        <v>163</v>
      </c>
      <c r="B164" s="14">
        <f t="shared" si="0"/>
        <v>45158</v>
      </c>
      <c r="C164" s="15">
        <v>42.68</v>
      </c>
      <c r="D164" s="15"/>
      <c r="E164" s="15"/>
      <c r="F164" s="16">
        <v>17.649999999999999</v>
      </c>
      <c r="G164" s="15">
        <v>168</v>
      </c>
    </row>
    <row r="165" spans="1:7" ht="15.75" customHeight="1" x14ac:dyDescent="0.5">
      <c r="A165" s="13">
        <v>164</v>
      </c>
      <c r="B165" s="14">
        <f t="shared" si="0"/>
        <v>45159</v>
      </c>
      <c r="C165" s="15">
        <v>33.700000000000003</v>
      </c>
      <c r="D165" s="15">
        <v>36.799999999999997</v>
      </c>
      <c r="E165" s="15">
        <v>7.4</v>
      </c>
      <c r="F165" s="16">
        <v>31.79</v>
      </c>
      <c r="G165" s="15">
        <v>193</v>
      </c>
    </row>
    <row r="166" spans="1:7" ht="15.75" customHeight="1" x14ac:dyDescent="0.5">
      <c r="A166" s="13">
        <v>165</v>
      </c>
      <c r="B166" s="14">
        <f t="shared" si="0"/>
        <v>45160</v>
      </c>
      <c r="C166" s="15">
        <v>28.44</v>
      </c>
      <c r="D166" s="15">
        <v>14.7</v>
      </c>
      <c r="E166" s="15">
        <v>5.4</v>
      </c>
      <c r="F166" s="16">
        <v>16.91</v>
      </c>
      <c r="G166" s="15">
        <v>132</v>
      </c>
    </row>
    <row r="167" spans="1:7" ht="15.75" customHeight="1" x14ac:dyDescent="0.5">
      <c r="A167" s="13">
        <v>166</v>
      </c>
      <c r="B167" s="14">
        <f t="shared" si="0"/>
        <v>45161</v>
      </c>
      <c r="C167" s="15">
        <v>56.9</v>
      </c>
      <c r="D167" s="15">
        <v>3.4</v>
      </c>
      <c r="E167" s="15">
        <v>84.8</v>
      </c>
      <c r="F167" s="16">
        <v>11.229999999999997</v>
      </c>
      <c r="G167" s="15">
        <v>131</v>
      </c>
    </row>
    <row r="168" spans="1:7" ht="15.75" customHeight="1" x14ac:dyDescent="0.5">
      <c r="A168" s="13">
        <v>167</v>
      </c>
      <c r="B168" s="14">
        <f t="shared" si="0"/>
        <v>45162</v>
      </c>
      <c r="C168" s="15">
        <v>11.58</v>
      </c>
      <c r="D168" s="15">
        <v>37.6</v>
      </c>
      <c r="E168" s="15">
        <v>21.6</v>
      </c>
      <c r="F168" s="16">
        <v>11.95</v>
      </c>
      <c r="G168" s="15">
        <v>90</v>
      </c>
    </row>
    <row r="169" spans="1:7" ht="15.75" customHeight="1" x14ac:dyDescent="0.5">
      <c r="A169" s="13">
        <v>168</v>
      </c>
      <c r="B169" s="14">
        <f t="shared" si="0"/>
        <v>45163</v>
      </c>
      <c r="C169" s="15">
        <v>48.36</v>
      </c>
      <c r="D169" s="15">
        <v>5.2</v>
      </c>
      <c r="E169" s="15">
        <v>19.399999999999999</v>
      </c>
      <c r="F169" s="16">
        <v>15.520000000000001</v>
      </c>
      <c r="G169" s="15">
        <v>129</v>
      </c>
    </row>
    <row r="170" spans="1:7" ht="15.75" customHeight="1" x14ac:dyDescent="0.5">
      <c r="A170" s="13">
        <v>169</v>
      </c>
      <c r="B170" s="14">
        <f t="shared" si="0"/>
        <v>45164</v>
      </c>
      <c r="C170" s="15">
        <v>45.08</v>
      </c>
      <c r="D170" s="15">
        <v>23.6</v>
      </c>
      <c r="E170" s="15">
        <v>57.6</v>
      </c>
      <c r="F170" s="16">
        <v>10.3</v>
      </c>
      <c r="G170" s="15">
        <v>185</v>
      </c>
    </row>
    <row r="171" spans="1:7" ht="15.75" customHeight="1" x14ac:dyDescent="0.5">
      <c r="A171" s="13">
        <v>170</v>
      </c>
      <c r="B171" s="14">
        <f t="shared" si="0"/>
        <v>45165</v>
      </c>
      <c r="C171" s="15">
        <v>60.86</v>
      </c>
      <c r="D171" s="15">
        <v>10.6</v>
      </c>
      <c r="E171" s="15">
        <v>6.4</v>
      </c>
      <c r="F171" s="16">
        <v>31.169999999999995</v>
      </c>
      <c r="G171" s="15">
        <v>162</v>
      </c>
    </row>
    <row r="172" spans="1:7" ht="15.75" customHeight="1" x14ac:dyDescent="0.5">
      <c r="A172" s="13">
        <v>171</v>
      </c>
      <c r="B172" s="14">
        <f t="shared" si="0"/>
        <v>45166</v>
      </c>
      <c r="C172" s="15">
        <v>12</v>
      </c>
      <c r="D172" s="15">
        <v>11.6</v>
      </c>
      <c r="E172" s="15">
        <v>18.399999999999999</v>
      </c>
      <c r="F172" s="16">
        <v>3.4400000000000013</v>
      </c>
      <c r="G172" s="15">
        <v>90</v>
      </c>
    </row>
    <row r="173" spans="1:7" ht="15.75" customHeight="1" x14ac:dyDescent="0.5">
      <c r="A173" s="13">
        <v>172</v>
      </c>
      <c r="B173" s="14">
        <f t="shared" si="0"/>
        <v>45167</v>
      </c>
      <c r="C173" s="15">
        <v>42.9</v>
      </c>
      <c r="D173" s="15">
        <v>20.9</v>
      </c>
      <c r="E173" s="15">
        <v>47.4</v>
      </c>
      <c r="F173" s="16">
        <v>7.9399999999999977</v>
      </c>
      <c r="G173" s="15">
        <v>163</v>
      </c>
    </row>
    <row r="174" spans="1:7" ht="15.75" customHeight="1" x14ac:dyDescent="0.5">
      <c r="A174" s="13">
        <v>173</v>
      </c>
      <c r="B174" s="14">
        <f t="shared" si="0"/>
        <v>45168</v>
      </c>
      <c r="C174" s="15">
        <v>9.92</v>
      </c>
      <c r="D174" s="15">
        <v>20.100000000000001</v>
      </c>
      <c r="E174" s="15">
        <v>17</v>
      </c>
      <c r="F174" s="16">
        <v>5.2100000000000009</v>
      </c>
      <c r="G174" s="15">
        <v>93</v>
      </c>
    </row>
    <row r="175" spans="1:7" ht="15.75" customHeight="1" x14ac:dyDescent="0.5">
      <c r="A175" s="13">
        <v>174</v>
      </c>
      <c r="B175" s="14">
        <f t="shared" si="0"/>
        <v>45169</v>
      </c>
      <c r="C175" s="15">
        <v>36.68</v>
      </c>
      <c r="D175" s="15">
        <v>7.1</v>
      </c>
      <c r="E175" s="15">
        <v>12.8</v>
      </c>
      <c r="F175" s="16">
        <v>15.27</v>
      </c>
      <c r="G175" s="15">
        <v>129</v>
      </c>
    </row>
    <row r="176" spans="1:7" ht="15.75" customHeight="1" x14ac:dyDescent="0.5">
      <c r="A176" s="13">
        <v>175</v>
      </c>
      <c r="B176" s="14">
        <f t="shared" si="0"/>
        <v>45170</v>
      </c>
      <c r="C176" s="15">
        <v>53.480000000000004</v>
      </c>
      <c r="D176" s="15">
        <v>3.4</v>
      </c>
      <c r="E176" s="15">
        <v>13.1</v>
      </c>
      <c r="F176" s="16">
        <v>18.700000000000003</v>
      </c>
      <c r="G176" s="15">
        <v>127</v>
      </c>
    </row>
    <row r="177" spans="1:7" ht="15.75" customHeight="1" x14ac:dyDescent="0.5">
      <c r="A177" s="13">
        <v>176</v>
      </c>
      <c r="B177" s="14">
        <f t="shared" si="0"/>
        <v>45171</v>
      </c>
      <c r="C177" s="15">
        <v>64.38</v>
      </c>
      <c r="D177" s="15">
        <v>48.9</v>
      </c>
      <c r="E177" s="15">
        <v>41.8</v>
      </c>
      <c r="F177" s="16">
        <v>35.42</v>
      </c>
      <c r="G177" s="15">
        <v>271</v>
      </c>
    </row>
    <row r="178" spans="1:7" ht="15.75" customHeight="1" x14ac:dyDescent="0.5">
      <c r="A178" s="13">
        <v>177</v>
      </c>
      <c r="B178" s="14">
        <f t="shared" si="0"/>
        <v>45172</v>
      </c>
      <c r="C178" s="15">
        <v>58.68</v>
      </c>
      <c r="D178" s="15">
        <v>30.2</v>
      </c>
      <c r="E178" s="15">
        <v>20.3</v>
      </c>
      <c r="F178" s="16">
        <v>31.819999999999997</v>
      </c>
      <c r="G178" s="15">
        <v>216</v>
      </c>
    </row>
    <row r="179" spans="1:7" ht="15.75" customHeight="1" x14ac:dyDescent="0.5">
      <c r="A179" s="13">
        <v>178</v>
      </c>
      <c r="B179" s="14">
        <f t="shared" si="0"/>
        <v>45173</v>
      </c>
      <c r="C179" s="15">
        <v>40.04</v>
      </c>
      <c r="D179" s="15">
        <v>7.8</v>
      </c>
      <c r="E179" s="15">
        <v>35.200000000000003</v>
      </c>
      <c r="F179" s="16">
        <v>95</v>
      </c>
      <c r="G179" s="15">
        <v>131</v>
      </c>
    </row>
    <row r="180" spans="1:7" ht="15.75" customHeight="1" x14ac:dyDescent="0.5">
      <c r="A180" s="13">
        <v>179</v>
      </c>
      <c r="B180" s="14">
        <f t="shared" si="0"/>
        <v>45174</v>
      </c>
      <c r="C180" s="15">
        <v>63.339999999999996</v>
      </c>
      <c r="D180" s="15">
        <v>2.2999999999999998</v>
      </c>
      <c r="E180" s="15">
        <v>23.7</v>
      </c>
      <c r="F180" s="16">
        <v>19.339999999999996</v>
      </c>
      <c r="G180" s="15">
        <v>131</v>
      </c>
    </row>
    <row r="181" spans="1:7" ht="15.75" customHeight="1" x14ac:dyDescent="0.5">
      <c r="A181" s="13">
        <v>180</v>
      </c>
      <c r="B181" s="14">
        <f t="shared" si="0"/>
        <v>45175</v>
      </c>
      <c r="C181" s="15">
        <v>41.12</v>
      </c>
      <c r="D181" s="15">
        <v>10</v>
      </c>
      <c r="E181" s="15">
        <v>17.600000000000001</v>
      </c>
      <c r="F181" s="16">
        <v>14.519999999999998</v>
      </c>
      <c r="G181" s="15">
        <v>135</v>
      </c>
    </row>
    <row r="182" spans="1:7" ht="15.75" customHeight="1" x14ac:dyDescent="0.5">
      <c r="A182" s="13">
        <v>181</v>
      </c>
      <c r="B182" s="14">
        <f t="shared" si="0"/>
        <v>45176</v>
      </c>
      <c r="C182" s="15">
        <v>36.32</v>
      </c>
      <c r="D182" s="15">
        <v>2.6</v>
      </c>
      <c r="E182" s="15">
        <v>8.3000000000000007</v>
      </c>
      <c r="F182" s="16">
        <v>13.64</v>
      </c>
      <c r="G182" s="15">
        <v>108</v>
      </c>
    </row>
    <row r="183" spans="1:7" ht="15.75" customHeight="1" x14ac:dyDescent="0.5">
      <c r="A183" s="13">
        <v>182</v>
      </c>
      <c r="B183" s="14">
        <f t="shared" si="0"/>
        <v>45177</v>
      </c>
      <c r="C183" s="15">
        <v>52.7</v>
      </c>
      <c r="D183" s="15">
        <v>5.4</v>
      </c>
      <c r="E183" s="15">
        <v>27.4</v>
      </c>
      <c r="F183" s="16">
        <v>13.59</v>
      </c>
      <c r="G183" s="15">
        <v>124</v>
      </c>
    </row>
    <row r="184" spans="1:7" ht="15.75" customHeight="1" x14ac:dyDescent="0.5">
      <c r="A184" s="13">
        <v>183</v>
      </c>
      <c r="B184" s="14">
        <f t="shared" si="0"/>
        <v>45178</v>
      </c>
      <c r="C184" s="15">
        <v>18.240000000000002</v>
      </c>
      <c r="D184" s="15">
        <v>5.7</v>
      </c>
      <c r="E184" s="15">
        <v>29.7</v>
      </c>
      <c r="F184" s="16">
        <v>16.59</v>
      </c>
      <c r="G184" s="15">
        <v>105</v>
      </c>
    </row>
    <row r="185" spans="1:7" ht="15.75" customHeight="1" x14ac:dyDescent="0.5">
      <c r="A185" s="13">
        <v>184</v>
      </c>
      <c r="B185" s="14">
        <f t="shared" si="0"/>
        <v>45179</v>
      </c>
      <c r="C185" s="15">
        <v>65.52000000000001</v>
      </c>
      <c r="D185" s="15">
        <v>43</v>
      </c>
      <c r="E185" s="15">
        <v>71.8</v>
      </c>
      <c r="F185" s="16">
        <v>21.540000000000006</v>
      </c>
      <c r="G185" s="15">
        <v>272</v>
      </c>
    </row>
    <row r="186" spans="1:7" ht="15.75" customHeight="1" x14ac:dyDescent="0.5">
      <c r="A186" s="13">
        <v>185</v>
      </c>
      <c r="B186" s="14">
        <f t="shared" si="0"/>
        <v>45180</v>
      </c>
      <c r="C186" s="15">
        <v>58.760000000000005</v>
      </c>
      <c r="D186" s="15">
        <v>21.3</v>
      </c>
      <c r="E186" s="15">
        <v>30</v>
      </c>
      <c r="F186" s="16">
        <v>24.03</v>
      </c>
      <c r="G186" s="15">
        <v>188</v>
      </c>
    </row>
    <row r="187" spans="1:7" ht="15.75" customHeight="1" x14ac:dyDescent="0.5">
      <c r="A187" s="13">
        <v>186</v>
      </c>
      <c r="B187" s="14">
        <f t="shared" si="0"/>
        <v>45181</v>
      </c>
      <c r="C187" s="15">
        <v>46</v>
      </c>
      <c r="D187" s="15">
        <v>45.1</v>
      </c>
      <c r="E187" s="15">
        <v>19.600000000000001</v>
      </c>
      <c r="F187" s="16">
        <v>35.209999999999994</v>
      </c>
      <c r="G187" s="15">
        <v>228</v>
      </c>
    </row>
    <row r="188" spans="1:7" ht="15.75" customHeight="1" x14ac:dyDescent="0.5">
      <c r="A188" s="13">
        <v>187</v>
      </c>
      <c r="B188" s="14">
        <f t="shared" si="0"/>
        <v>45182</v>
      </c>
      <c r="C188" s="15">
        <v>35.9</v>
      </c>
      <c r="D188" s="15">
        <v>2.1</v>
      </c>
      <c r="E188" s="15">
        <v>26.6</v>
      </c>
      <c r="F188" s="16">
        <v>4.3599999999999994</v>
      </c>
      <c r="G188" s="15">
        <v>108</v>
      </c>
    </row>
    <row r="189" spans="1:7" ht="15.75" customHeight="1" x14ac:dyDescent="0.5">
      <c r="A189" s="13">
        <v>188</v>
      </c>
      <c r="B189" s="14">
        <f t="shared" si="0"/>
        <v>45183</v>
      </c>
      <c r="C189" s="15">
        <v>41.22</v>
      </c>
      <c r="D189" s="15">
        <v>28.7</v>
      </c>
      <c r="E189" s="15">
        <v>18.2</v>
      </c>
      <c r="F189" s="16">
        <v>26.18</v>
      </c>
      <c r="G189" s="15">
        <v>186</v>
      </c>
    </row>
    <row r="190" spans="1:7" ht="15.75" customHeight="1" x14ac:dyDescent="0.5">
      <c r="A190" s="13">
        <v>189</v>
      </c>
      <c r="B190" s="14">
        <f t="shared" si="0"/>
        <v>45184</v>
      </c>
      <c r="C190" s="15">
        <v>59.2</v>
      </c>
      <c r="D190" s="15">
        <v>13.9</v>
      </c>
      <c r="E190" s="15">
        <v>3.7</v>
      </c>
      <c r="F190" s="16">
        <v>34.070000000000007</v>
      </c>
      <c r="G190" s="15">
        <v>167</v>
      </c>
    </row>
    <row r="191" spans="1:7" ht="15.75" customHeight="1" x14ac:dyDescent="0.5">
      <c r="A191" s="13">
        <v>190</v>
      </c>
      <c r="B191" s="14">
        <f t="shared" si="0"/>
        <v>45185</v>
      </c>
      <c r="C191" s="15">
        <v>6.74</v>
      </c>
      <c r="D191" s="15">
        <v>12.1</v>
      </c>
      <c r="E191" s="15">
        <v>23.4</v>
      </c>
      <c r="F191" s="16">
        <v>18.560000000000002</v>
      </c>
      <c r="G191" s="15">
        <v>83</v>
      </c>
    </row>
    <row r="192" spans="1:7" ht="15.75" customHeight="1" x14ac:dyDescent="0.5">
      <c r="A192" s="13">
        <v>191</v>
      </c>
      <c r="B192" s="14">
        <f t="shared" si="0"/>
        <v>45186</v>
      </c>
      <c r="C192" s="15">
        <v>15.9</v>
      </c>
      <c r="D192" s="15">
        <v>41.1</v>
      </c>
      <c r="E192" s="15">
        <v>5.8</v>
      </c>
      <c r="F192" s="16">
        <v>22.18</v>
      </c>
      <c r="G192" s="15">
        <v>114</v>
      </c>
    </row>
    <row r="193" spans="1:7" ht="15.75" customHeight="1" x14ac:dyDescent="0.5">
      <c r="A193" s="13">
        <v>192</v>
      </c>
      <c r="B193" s="14">
        <f t="shared" si="0"/>
        <v>45187</v>
      </c>
      <c r="C193" s="15">
        <v>21.1</v>
      </c>
      <c r="D193" s="15">
        <v>10.8</v>
      </c>
      <c r="E193" s="15">
        <v>6</v>
      </c>
      <c r="F193" s="16">
        <v>10.549999999999999</v>
      </c>
      <c r="G193" s="15">
        <v>116</v>
      </c>
    </row>
    <row r="194" spans="1:7" ht="15.75" customHeight="1" x14ac:dyDescent="0.5">
      <c r="A194" s="13">
        <v>193</v>
      </c>
      <c r="B194" s="14">
        <f t="shared" si="0"/>
        <v>45188</v>
      </c>
      <c r="C194" s="15">
        <v>12.44</v>
      </c>
      <c r="D194" s="15">
        <v>4.0999999999999996</v>
      </c>
      <c r="E194" s="15">
        <v>31.6</v>
      </c>
      <c r="F194" s="16">
        <v>11.129999999999999</v>
      </c>
      <c r="G194" s="15">
        <v>62</v>
      </c>
    </row>
    <row r="195" spans="1:7" ht="15.75" customHeight="1" x14ac:dyDescent="0.5">
      <c r="A195" s="13">
        <v>194</v>
      </c>
      <c r="B195" s="14">
        <f t="shared" si="0"/>
        <v>45189</v>
      </c>
      <c r="C195" s="15">
        <v>41.36</v>
      </c>
      <c r="D195" s="15">
        <v>42</v>
      </c>
      <c r="E195" s="15">
        <v>3.6</v>
      </c>
      <c r="F195" s="16">
        <v>36.24</v>
      </c>
      <c r="G195" s="15">
        <v>204</v>
      </c>
    </row>
    <row r="196" spans="1:7" ht="15.75" customHeight="1" x14ac:dyDescent="0.5">
      <c r="A196" s="13">
        <v>195</v>
      </c>
      <c r="B196" s="14">
        <f t="shared" si="0"/>
        <v>45190</v>
      </c>
      <c r="C196" s="15">
        <v>32.94</v>
      </c>
      <c r="D196" s="15">
        <v>35.6</v>
      </c>
      <c r="E196" s="15">
        <v>6</v>
      </c>
      <c r="F196" s="16"/>
      <c r="G196" s="15">
        <v>184</v>
      </c>
    </row>
    <row r="197" spans="1:7" ht="15.75" customHeight="1" x14ac:dyDescent="0.5">
      <c r="A197" s="13">
        <v>196</v>
      </c>
      <c r="B197" s="14">
        <f t="shared" si="0"/>
        <v>45191</v>
      </c>
      <c r="C197" s="15">
        <v>14.64</v>
      </c>
      <c r="D197" s="15">
        <v>3.7</v>
      </c>
      <c r="E197" s="15">
        <v>13.8</v>
      </c>
      <c r="F197" s="16">
        <v>0.14999999999999947</v>
      </c>
      <c r="G197" s="15">
        <v>91</v>
      </c>
    </row>
    <row r="198" spans="1:7" ht="15.75" customHeight="1" x14ac:dyDescent="0.5">
      <c r="A198" s="13">
        <v>197</v>
      </c>
      <c r="B198" s="14">
        <f t="shared" si="0"/>
        <v>45192</v>
      </c>
      <c r="C198" s="15">
        <v>27.84</v>
      </c>
      <c r="D198" s="15">
        <v>4.9000000000000004</v>
      </c>
      <c r="E198" s="15">
        <v>8.1</v>
      </c>
      <c r="F198" s="16">
        <v>8.6300000000000008</v>
      </c>
      <c r="G198" s="15">
        <v>116</v>
      </c>
    </row>
    <row r="199" spans="1:7" ht="15.75" customHeight="1" x14ac:dyDescent="0.5">
      <c r="A199" s="13">
        <v>198</v>
      </c>
      <c r="B199" s="14">
        <f t="shared" si="0"/>
        <v>45193</v>
      </c>
      <c r="C199" s="15">
        <v>44.4</v>
      </c>
      <c r="D199" s="15">
        <v>9.3000000000000007</v>
      </c>
      <c r="E199" s="15">
        <v>6.4</v>
      </c>
      <c r="F199" s="16">
        <v>19.79</v>
      </c>
      <c r="G199" s="15">
        <v>139</v>
      </c>
    </row>
    <row r="200" spans="1:7" ht="15.75" customHeight="1" x14ac:dyDescent="0.5">
      <c r="A200" s="13">
        <v>199</v>
      </c>
      <c r="B200" s="14">
        <f t="shared" si="0"/>
        <v>45194</v>
      </c>
      <c r="C200" s="15">
        <v>57.720000000000006</v>
      </c>
      <c r="D200" s="15">
        <v>42</v>
      </c>
      <c r="E200" s="15">
        <v>66.2</v>
      </c>
      <c r="F200" s="16">
        <v>22.879999999999995</v>
      </c>
      <c r="G200" s="15">
        <v>235.5</v>
      </c>
    </row>
    <row r="201" spans="1:7" ht="15.75" customHeight="1" x14ac:dyDescent="0.5">
      <c r="A201" s="13">
        <v>200</v>
      </c>
      <c r="B201" s="14">
        <v>45195</v>
      </c>
      <c r="C201" s="15">
        <v>52.42</v>
      </c>
      <c r="D201" s="15">
        <v>8.6</v>
      </c>
      <c r="E201" s="15">
        <v>8.6999999999999993</v>
      </c>
      <c r="F201" s="16">
        <v>1</v>
      </c>
      <c r="G201" s="15">
        <v>139</v>
      </c>
    </row>
    <row r="202" spans="1:7" ht="15.75" customHeight="1" x14ac:dyDescent="0.5"/>
    <row r="203" spans="1:7" ht="15.75" customHeight="1" x14ac:dyDescent="0.5"/>
    <row r="204" spans="1:7" ht="15.75" customHeight="1" x14ac:dyDescent="0.5"/>
    <row r="205" spans="1:7" ht="15.75" customHeight="1" x14ac:dyDescent="0.5"/>
    <row r="206" spans="1:7" ht="15.75" customHeight="1" x14ac:dyDescent="0.5"/>
    <row r="207" spans="1:7" ht="15.75" customHeight="1" x14ac:dyDescent="0.5"/>
    <row r="208" spans="1:7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G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4"/>
  <sheetViews>
    <sheetView showGridLines="0" topLeftCell="H1" zoomScale="76" zoomScaleNormal="200" workbookViewId="0">
      <selection activeCell="O26" sqref="O26"/>
    </sheetView>
  </sheetViews>
  <sheetFormatPr defaultColWidth="11.1875" defaultRowHeight="15" customHeight="1" x14ac:dyDescent="0.5"/>
  <cols>
    <col min="1" max="2" width="10.5" customWidth="1"/>
    <col min="3" max="3" width="14.5" bestFit="1" customWidth="1"/>
    <col min="4" max="4" width="15.625" bestFit="1" customWidth="1"/>
    <col min="5" max="5" width="11.1875" bestFit="1" customWidth="1"/>
    <col min="6" max="6" width="15.1875" bestFit="1" customWidth="1"/>
    <col min="7" max="7" width="12.8125" customWidth="1"/>
    <col min="8" max="8" width="11.5625" bestFit="1" customWidth="1"/>
    <col min="9" max="9" width="16.625" bestFit="1" customWidth="1"/>
    <col min="10" max="10" width="12.1875" customWidth="1"/>
    <col min="11" max="11" width="16.1875" bestFit="1" customWidth="1"/>
    <col min="12" max="12" width="13.8125" bestFit="1" customWidth="1"/>
    <col min="13" max="13" width="15.6875" style="3" bestFit="1" customWidth="1"/>
    <col min="14" max="14" width="10.0625" customWidth="1"/>
    <col min="15" max="15" width="18.625" customWidth="1"/>
    <col min="16" max="16" width="15.375" bestFit="1" customWidth="1"/>
    <col min="17" max="17" width="18.875" bestFit="1" customWidth="1"/>
    <col min="18" max="18" width="15.125" customWidth="1"/>
    <col min="19" max="19" width="10.5" customWidth="1"/>
    <col min="20" max="20" width="14.0625" customWidth="1"/>
    <col min="21" max="23" width="10.5" customWidth="1"/>
    <col min="24" max="24" width="14.625" customWidth="1"/>
    <col min="25" max="25" width="19.25" bestFit="1" customWidth="1"/>
    <col min="26" max="27" width="10.5" customWidth="1"/>
  </cols>
  <sheetData>
    <row r="1" spans="1:25" ht="29.25" customHeight="1" x14ac:dyDescent="0.5">
      <c r="A1" s="20" t="s">
        <v>0</v>
      </c>
      <c r="B1" s="33" t="s">
        <v>17</v>
      </c>
      <c r="C1" s="20" t="s">
        <v>1</v>
      </c>
      <c r="D1" s="119" t="s">
        <v>2</v>
      </c>
      <c r="E1" s="119" t="s">
        <v>3</v>
      </c>
      <c r="F1" s="119" t="s">
        <v>4</v>
      </c>
      <c r="G1" s="119" t="s">
        <v>8</v>
      </c>
      <c r="H1" s="120" t="s">
        <v>5</v>
      </c>
      <c r="I1" s="33" t="s">
        <v>12</v>
      </c>
      <c r="J1" s="33" t="s">
        <v>13</v>
      </c>
      <c r="K1" s="33" t="s">
        <v>14</v>
      </c>
      <c r="L1" s="33" t="s">
        <v>15</v>
      </c>
      <c r="M1" s="33" t="s">
        <v>16</v>
      </c>
      <c r="O1" s="5" t="s">
        <v>64</v>
      </c>
      <c r="P1" s="3" t="s">
        <v>19</v>
      </c>
    </row>
    <row r="2" spans="1:25" ht="15" customHeight="1" x14ac:dyDescent="0.5">
      <c r="A2" s="21">
        <v>1</v>
      </c>
      <c r="B2" s="21">
        <f>WEEKDAY(C2,2)</f>
        <v>6</v>
      </c>
      <c r="C2" s="22">
        <f t="shared" ref="C2:C200" si="0">+C3-1</f>
        <v>44996</v>
      </c>
      <c r="D2" s="23">
        <v>56.02</v>
      </c>
      <c r="E2" s="23">
        <v>37.799999999999997</v>
      </c>
      <c r="F2" s="23">
        <v>69.2</v>
      </c>
      <c r="G2" s="24">
        <v>14.229999999999993</v>
      </c>
      <c r="H2" s="23">
        <v>236</v>
      </c>
      <c r="I2" s="25">
        <v>56.02</v>
      </c>
      <c r="J2" s="25">
        <f t="shared" ref="J2:J33" si="1">IF(ISBLANK(E2),U$19,E2)</f>
        <v>37.799999999999997</v>
      </c>
      <c r="K2" s="25">
        <f t="shared" ref="K2:K33" si="2">IF(ISBLANK(F2),U$20,F2)</f>
        <v>69.2</v>
      </c>
      <c r="L2" s="25">
        <f t="shared" ref="L2:L33" si="3">IF(ISBLANK(G2),U$21,G2)</f>
        <v>14.229999999999993</v>
      </c>
      <c r="M2" s="25">
        <f t="shared" ref="M2:M33" si="4">IF(ISBLANK(H2),VLOOKUP(B2,$O$1:$P$9,2,TRUE),H2)</f>
        <v>236</v>
      </c>
      <c r="O2" s="6">
        <v>1</v>
      </c>
      <c r="P2" s="3">
        <v>150.15517241379311</v>
      </c>
    </row>
    <row r="3" spans="1:25" ht="15" customHeight="1" x14ac:dyDescent="0.5">
      <c r="A3" s="21">
        <v>2</v>
      </c>
      <c r="B3" s="21">
        <f t="shared" ref="B3:B66" si="5">WEEKDAY(C3,2)</f>
        <v>7</v>
      </c>
      <c r="C3" s="22">
        <f t="shared" si="0"/>
        <v>44997</v>
      </c>
      <c r="D3" s="23">
        <v>10.9</v>
      </c>
      <c r="E3" s="23">
        <v>39.299999999999997</v>
      </c>
      <c r="F3" s="23">
        <v>45.1</v>
      </c>
      <c r="G3" s="24">
        <v>6.0599999999999952</v>
      </c>
      <c r="H3" s="23">
        <v>122</v>
      </c>
      <c r="I3" s="25">
        <v>10.9</v>
      </c>
      <c r="J3" s="25">
        <f t="shared" si="1"/>
        <v>39.299999999999997</v>
      </c>
      <c r="K3" s="25">
        <f t="shared" si="2"/>
        <v>45.1</v>
      </c>
      <c r="L3" s="25">
        <f t="shared" si="3"/>
        <v>6.0599999999999952</v>
      </c>
      <c r="M3" s="25">
        <f t="shared" si="4"/>
        <v>122</v>
      </c>
      <c r="O3" s="6">
        <v>2</v>
      </c>
      <c r="P3" s="3">
        <v>144.14285714285714</v>
      </c>
    </row>
    <row r="4" spans="1:25" ht="15" customHeight="1" x14ac:dyDescent="0.5">
      <c r="A4" s="21">
        <v>3</v>
      </c>
      <c r="B4" s="21">
        <f t="shared" si="5"/>
        <v>1</v>
      </c>
      <c r="C4" s="22">
        <f t="shared" si="0"/>
        <v>44998</v>
      </c>
      <c r="D4" s="23">
        <v>12.44</v>
      </c>
      <c r="E4" s="23">
        <v>45.9</v>
      </c>
      <c r="F4" s="23">
        <v>69.3</v>
      </c>
      <c r="G4" s="24">
        <v>16.95</v>
      </c>
      <c r="H4" s="23">
        <v>96</v>
      </c>
      <c r="I4" s="25">
        <v>12.44</v>
      </c>
      <c r="J4" s="25">
        <f t="shared" si="1"/>
        <v>45.9</v>
      </c>
      <c r="K4" s="25">
        <f t="shared" si="2"/>
        <v>69.3</v>
      </c>
      <c r="L4" s="25">
        <f t="shared" si="3"/>
        <v>16.95</v>
      </c>
      <c r="M4" s="25">
        <f t="shared" si="4"/>
        <v>96</v>
      </c>
      <c r="O4" s="6">
        <v>3</v>
      </c>
      <c r="P4" s="3">
        <v>140.72222222222223</v>
      </c>
    </row>
    <row r="5" spans="1:25" ht="15" customHeight="1" x14ac:dyDescent="0.5">
      <c r="A5" s="21">
        <v>4</v>
      </c>
      <c r="B5" s="21">
        <f t="shared" si="5"/>
        <v>2</v>
      </c>
      <c r="C5" s="22">
        <f t="shared" si="0"/>
        <v>44999</v>
      </c>
      <c r="D5" s="23">
        <v>31.3</v>
      </c>
      <c r="E5" s="23">
        <v>41.3</v>
      </c>
      <c r="F5" s="23">
        <v>58.5</v>
      </c>
      <c r="G5" s="24">
        <v>12.399999999999995</v>
      </c>
      <c r="H5" s="23">
        <v>197</v>
      </c>
      <c r="I5" s="25">
        <v>31.3</v>
      </c>
      <c r="J5" s="25">
        <f t="shared" si="1"/>
        <v>41.3</v>
      </c>
      <c r="K5" s="25">
        <f t="shared" si="2"/>
        <v>58.5</v>
      </c>
      <c r="L5" s="25">
        <f t="shared" si="3"/>
        <v>12.399999999999995</v>
      </c>
      <c r="M5" s="25">
        <f t="shared" si="4"/>
        <v>197</v>
      </c>
      <c r="O5" s="6">
        <v>4</v>
      </c>
      <c r="P5" s="3">
        <v>153.82142857142858</v>
      </c>
    </row>
    <row r="6" spans="1:25" ht="15" customHeight="1" x14ac:dyDescent="0.5">
      <c r="A6" s="21">
        <v>5</v>
      </c>
      <c r="B6" s="21">
        <f t="shared" si="5"/>
        <v>3</v>
      </c>
      <c r="C6" s="22">
        <f t="shared" si="0"/>
        <v>45000</v>
      </c>
      <c r="D6" s="23">
        <v>46.160000000000004</v>
      </c>
      <c r="E6" s="23">
        <v>10.8</v>
      </c>
      <c r="F6" s="23">
        <v>58.4</v>
      </c>
      <c r="G6" s="24">
        <v>0.12000000000000455</v>
      </c>
      <c r="H6" s="23">
        <v>137</v>
      </c>
      <c r="I6" s="25">
        <v>46.160000000000004</v>
      </c>
      <c r="J6" s="25">
        <f t="shared" si="1"/>
        <v>10.8</v>
      </c>
      <c r="K6" s="25">
        <f t="shared" si="2"/>
        <v>58.4</v>
      </c>
      <c r="L6" s="25">
        <f t="shared" si="3"/>
        <v>0.12000000000000455</v>
      </c>
      <c r="M6" s="25">
        <f t="shared" si="4"/>
        <v>137</v>
      </c>
      <c r="O6" s="6">
        <v>5</v>
      </c>
      <c r="P6" s="3">
        <v>154.375</v>
      </c>
    </row>
    <row r="7" spans="1:25" ht="15" customHeight="1" x14ac:dyDescent="0.5">
      <c r="A7" s="21">
        <v>6</v>
      </c>
      <c r="B7" s="21">
        <f t="shared" si="5"/>
        <v>4</v>
      </c>
      <c r="C7" s="22">
        <f t="shared" si="0"/>
        <v>45001</v>
      </c>
      <c r="D7" s="23">
        <v>6.74</v>
      </c>
      <c r="E7" s="23">
        <v>48.9</v>
      </c>
      <c r="F7" s="23">
        <v>75</v>
      </c>
      <c r="G7" s="24">
        <v>15.32</v>
      </c>
      <c r="H7" s="23">
        <v>86</v>
      </c>
      <c r="I7" s="25">
        <v>6.74</v>
      </c>
      <c r="J7" s="25">
        <f t="shared" si="1"/>
        <v>48.9</v>
      </c>
      <c r="K7" s="25">
        <f t="shared" si="2"/>
        <v>75</v>
      </c>
      <c r="L7" s="25">
        <f t="shared" si="3"/>
        <v>15.32</v>
      </c>
      <c r="M7" s="25">
        <f t="shared" si="4"/>
        <v>86</v>
      </c>
      <c r="O7" s="6">
        <v>6</v>
      </c>
      <c r="P7" s="3">
        <v>164.45535714285714</v>
      </c>
    </row>
    <row r="8" spans="1:25" ht="15" customHeight="1" x14ac:dyDescent="0.5">
      <c r="A8" s="21">
        <v>7</v>
      </c>
      <c r="B8" s="21">
        <f t="shared" si="5"/>
        <v>5</v>
      </c>
      <c r="C8" s="22">
        <f t="shared" si="0"/>
        <v>45002</v>
      </c>
      <c r="D8" s="23">
        <v>13.5</v>
      </c>
      <c r="E8" s="23">
        <v>32.799999999999997</v>
      </c>
      <c r="F8" s="23">
        <v>23.5</v>
      </c>
      <c r="G8" s="24">
        <v>12.749999999999998</v>
      </c>
      <c r="H8" s="23">
        <v>123</v>
      </c>
      <c r="I8" s="25">
        <v>13.5</v>
      </c>
      <c r="J8" s="25">
        <f t="shared" si="1"/>
        <v>32.799999999999997</v>
      </c>
      <c r="K8" s="25">
        <f t="shared" si="2"/>
        <v>23.5</v>
      </c>
      <c r="L8" s="25">
        <f t="shared" si="3"/>
        <v>12.749999999999998</v>
      </c>
      <c r="M8" s="25">
        <f t="shared" si="4"/>
        <v>123</v>
      </c>
      <c r="O8" s="6">
        <v>7</v>
      </c>
      <c r="P8" s="3">
        <v>170.89285714285714</v>
      </c>
    </row>
    <row r="9" spans="1:25" ht="15" customHeight="1" x14ac:dyDescent="0.5">
      <c r="A9" s="21">
        <v>8</v>
      </c>
      <c r="B9" s="21">
        <f t="shared" si="5"/>
        <v>6</v>
      </c>
      <c r="C9" s="22">
        <f t="shared" si="0"/>
        <v>45003</v>
      </c>
      <c r="D9" s="23">
        <v>31.04</v>
      </c>
      <c r="E9" s="23">
        <v>19.600000000000001</v>
      </c>
      <c r="F9" s="23">
        <v>11.6</v>
      </c>
      <c r="G9" s="24">
        <v>17.18</v>
      </c>
      <c r="H9" s="23">
        <v>152</v>
      </c>
      <c r="I9" s="25">
        <v>31.04</v>
      </c>
      <c r="J9" s="25">
        <f t="shared" si="1"/>
        <v>19.600000000000001</v>
      </c>
      <c r="K9" s="25">
        <f t="shared" si="2"/>
        <v>11.6</v>
      </c>
      <c r="L9" s="25">
        <f t="shared" si="3"/>
        <v>17.18</v>
      </c>
      <c r="M9" s="25">
        <f t="shared" si="4"/>
        <v>152</v>
      </c>
      <c r="O9" s="6" t="s">
        <v>18</v>
      </c>
      <c r="P9" s="3">
        <v>154.12882653061226</v>
      </c>
    </row>
    <row r="10" spans="1:25" ht="15" customHeight="1" x14ac:dyDescent="0.5">
      <c r="A10" s="21">
        <v>9</v>
      </c>
      <c r="B10" s="21">
        <f t="shared" si="5"/>
        <v>7</v>
      </c>
      <c r="C10" s="22">
        <f t="shared" si="0"/>
        <v>45004</v>
      </c>
      <c r="D10" s="23">
        <v>9.7200000000000006</v>
      </c>
      <c r="E10" s="23">
        <v>2.1</v>
      </c>
      <c r="F10" s="23">
        <v>1</v>
      </c>
      <c r="G10" s="24">
        <v>1.5100000000000002</v>
      </c>
      <c r="H10" s="23">
        <v>54</v>
      </c>
      <c r="I10" s="25">
        <v>9.7200000000000006</v>
      </c>
      <c r="J10" s="25">
        <f t="shared" si="1"/>
        <v>2.1</v>
      </c>
      <c r="K10" s="25">
        <f t="shared" si="2"/>
        <v>1</v>
      </c>
      <c r="L10" s="25">
        <f t="shared" si="3"/>
        <v>1.5100000000000002</v>
      </c>
      <c r="M10" s="25">
        <f t="shared" si="4"/>
        <v>54</v>
      </c>
    </row>
    <row r="11" spans="1:25" ht="15" customHeight="1" x14ac:dyDescent="0.5">
      <c r="A11" s="21">
        <v>10</v>
      </c>
      <c r="B11" s="21">
        <f t="shared" si="5"/>
        <v>1</v>
      </c>
      <c r="C11" s="22">
        <f t="shared" si="0"/>
        <v>45005</v>
      </c>
      <c r="D11" s="23">
        <v>40.96</v>
      </c>
      <c r="E11" s="23">
        <v>2.6</v>
      </c>
      <c r="F11" s="23">
        <v>21.2</v>
      </c>
      <c r="G11" s="24">
        <v>12.8</v>
      </c>
      <c r="H11" s="23">
        <v>119</v>
      </c>
      <c r="I11" s="25">
        <v>40.96</v>
      </c>
      <c r="J11" s="25">
        <f t="shared" si="1"/>
        <v>2.6</v>
      </c>
      <c r="K11" s="25">
        <f t="shared" si="2"/>
        <v>21.2</v>
      </c>
      <c r="L11" s="25">
        <f t="shared" si="3"/>
        <v>12.8</v>
      </c>
      <c r="M11" s="25">
        <f t="shared" si="4"/>
        <v>119</v>
      </c>
    </row>
    <row r="12" spans="1:25" ht="15" customHeight="1" x14ac:dyDescent="0.5">
      <c r="A12" s="21">
        <v>11</v>
      </c>
      <c r="B12" s="21">
        <f t="shared" si="5"/>
        <v>2</v>
      </c>
      <c r="C12" s="22">
        <f t="shared" si="0"/>
        <v>45006</v>
      </c>
      <c r="D12" s="23">
        <v>23.22</v>
      </c>
      <c r="E12" s="23">
        <v>5.8</v>
      </c>
      <c r="F12" s="23">
        <v>24.2</v>
      </c>
      <c r="G12" s="24">
        <v>19.829999999999998</v>
      </c>
      <c r="H12" s="23">
        <v>95</v>
      </c>
      <c r="I12" s="25">
        <v>23.22</v>
      </c>
      <c r="J12" s="25">
        <f t="shared" si="1"/>
        <v>5.8</v>
      </c>
      <c r="K12" s="25">
        <f t="shared" si="2"/>
        <v>24.2</v>
      </c>
      <c r="L12" s="25">
        <f t="shared" si="3"/>
        <v>19.829999999999998</v>
      </c>
      <c r="M12" s="25">
        <f t="shared" si="4"/>
        <v>95</v>
      </c>
    </row>
    <row r="13" spans="1:25" ht="15" customHeight="1" x14ac:dyDescent="0.5">
      <c r="A13" s="21">
        <v>12</v>
      </c>
      <c r="B13" s="21">
        <f t="shared" si="5"/>
        <v>3</v>
      </c>
      <c r="C13" s="22">
        <f t="shared" si="0"/>
        <v>45007</v>
      </c>
      <c r="D13" s="23">
        <v>50.94</v>
      </c>
      <c r="E13" s="23">
        <v>24</v>
      </c>
      <c r="F13" s="23">
        <v>4</v>
      </c>
      <c r="G13" s="24">
        <v>31.869999999999997</v>
      </c>
      <c r="H13" s="23">
        <v>151.5</v>
      </c>
      <c r="I13" s="25">
        <v>50.94</v>
      </c>
      <c r="J13" s="25">
        <f t="shared" si="1"/>
        <v>24</v>
      </c>
      <c r="K13" s="25">
        <f t="shared" si="2"/>
        <v>4</v>
      </c>
      <c r="L13" s="25">
        <f t="shared" si="3"/>
        <v>31.869999999999997</v>
      </c>
      <c r="M13" s="25">
        <f t="shared" si="4"/>
        <v>151.5</v>
      </c>
    </row>
    <row r="14" spans="1:25" ht="15" customHeight="1" x14ac:dyDescent="0.5">
      <c r="A14" s="21">
        <v>13</v>
      </c>
      <c r="B14" s="21">
        <f t="shared" si="5"/>
        <v>4</v>
      </c>
      <c r="C14" s="22">
        <f t="shared" si="0"/>
        <v>45008</v>
      </c>
      <c r="D14" s="23">
        <v>10.76</v>
      </c>
      <c r="E14" s="23">
        <v>35.1</v>
      </c>
      <c r="F14" s="23">
        <v>65.900000000000006</v>
      </c>
      <c r="G14" s="24"/>
      <c r="H14" s="23">
        <v>95</v>
      </c>
      <c r="I14" s="25">
        <v>10.76</v>
      </c>
      <c r="J14" s="25">
        <f t="shared" si="1"/>
        <v>35.1</v>
      </c>
      <c r="K14" s="25">
        <f t="shared" si="2"/>
        <v>65.900000000000006</v>
      </c>
      <c r="L14" s="25">
        <f t="shared" si="3"/>
        <v>17.100000000000001</v>
      </c>
      <c r="M14" s="25">
        <f t="shared" si="4"/>
        <v>95</v>
      </c>
    </row>
    <row r="15" spans="1:25" ht="15.75" customHeight="1" thickBot="1" x14ac:dyDescent="0.55000000000000004">
      <c r="A15" s="21">
        <v>14</v>
      </c>
      <c r="B15" s="21">
        <f t="shared" si="5"/>
        <v>5</v>
      </c>
      <c r="C15" s="22">
        <f t="shared" si="0"/>
        <v>45009</v>
      </c>
      <c r="D15" s="23">
        <v>26.5</v>
      </c>
      <c r="E15" s="23">
        <v>7.6</v>
      </c>
      <c r="F15" s="23">
        <v>7.2</v>
      </c>
      <c r="G15" s="24"/>
      <c r="H15" s="23">
        <v>113</v>
      </c>
      <c r="I15" s="25">
        <v>26.5</v>
      </c>
      <c r="J15" s="25">
        <f t="shared" si="1"/>
        <v>7.6</v>
      </c>
      <c r="K15" s="25">
        <f t="shared" si="2"/>
        <v>7.2</v>
      </c>
      <c r="L15" s="25">
        <f t="shared" si="3"/>
        <v>17.100000000000001</v>
      </c>
      <c r="M15" s="25">
        <f t="shared" si="4"/>
        <v>113</v>
      </c>
    </row>
    <row r="16" spans="1:25" ht="24.4" customHeight="1" x14ac:dyDescent="0.65">
      <c r="A16" s="21">
        <v>15</v>
      </c>
      <c r="B16" s="21">
        <f t="shared" si="5"/>
        <v>6</v>
      </c>
      <c r="C16" s="22">
        <f t="shared" si="0"/>
        <v>45010</v>
      </c>
      <c r="D16" s="23">
        <v>44.82</v>
      </c>
      <c r="E16" s="23">
        <v>32.9</v>
      </c>
      <c r="F16" s="23">
        <v>46</v>
      </c>
      <c r="G16" s="24">
        <v>18.459999999999997</v>
      </c>
      <c r="H16" s="23">
        <v>191</v>
      </c>
      <c r="I16" s="25">
        <v>44.82</v>
      </c>
      <c r="J16" s="25">
        <f t="shared" si="1"/>
        <v>32.9</v>
      </c>
      <c r="K16" s="25">
        <f t="shared" si="2"/>
        <v>46</v>
      </c>
      <c r="L16" s="25">
        <f t="shared" si="3"/>
        <v>18.459999999999997</v>
      </c>
      <c r="M16" s="25">
        <f t="shared" si="4"/>
        <v>191</v>
      </c>
      <c r="N16" s="3"/>
      <c r="O16" s="149" t="s">
        <v>57</v>
      </c>
      <c r="P16" s="150"/>
      <c r="Q16" s="150"/>
      <c r="R16" s="150"/>
      <c r="S16" s="150"/>
      <c r="T16" s="150"/>
      <c r="U16" s="150"/>
      <c r="V16" s="150"/>
      <c r="W16" s="150"/>
      <c r="X16" s="150"/>
      <c r="Y16" s="151"/>
    </row>
    <row r="17" spans="1:25" ht="31.5" x14ac:dyDescent="0.5">
      <c r="A17" s="21">
        <v>16</v>
      </c>
      <c r="B17" s="21">
        <f t="shared" si="5"/>
        <v>7</v>
      </c>
      <c r="C17" s="22">
        <f t="shared" si="0"/>
        <v>45011</v>
      </c>
      <c r="D17" s="23">
        <v>42.08</v>
      </c>
      <c r="E17" s="23">
        <v>47.7</v>
      </c>
      <c r="F17" s="23">
        <v>52.9</v>
      </c>
      <c r="G17" s="24">
        <v>22.23</v>
      </c>
      <c r="H17" s="23">
        <v>240</v>
      </c>
      <c r="I17" s="25">
        <v>42.08</v>
      </c>
      <c r="J17" s="25">
        <f t="shared" si="1"/>
        <v>47.7</v>
      </c>
      <c r="K17" s="25">
        <f t="shared" si="2"/>
        <v>52.9</v>
      </c>
      <c r="L17" s="25">
        <f t="shared" si="3"/>
        <v>22.23</v>
      </c>
      <c r="M17" s="25">
        <f t="shared" si="4"/>
        <v>240</v>
      </c>
      <c r="O17" s="152" t="s">
        <v>50</v>
      </c>
      <c r="P17" s="34" t="s">
        <v>48</v>
      </c>
      <c r="Q17" s="34" t="s">
        <v>51</v>
      </c>
      <c r="R17" s="34" t="s">
        <v>52</v>
      </c>
      <c r="S17" s="34" t="s">
        <v>53</v>
      </c>
      <c r="T17" s="34" t="s">
        <v>9</v>
      </c>
      <c r="U17" s="34" t="s">
        <v>10</v>
      </c>
      <c r="V17" s="34" t="s">
        <v>11</v>
      </c>
      <c r="W17" s="34" t="s">
        <v>58</v>
      </c>
      <c r="X17" s="34" t="s">
        <v>62</v>
      </c>
      <c r="Y17" s="153" t="s">
        <v>54</v>
      </c>
    </row>
    <row r="18" spans="1:25" ht="15.75" customHeight="1" x14ac:dyDescent="0.5">
      <c r="A18" s="21">
        <v>17</v>
      </c>
      <c r="B18" s="21">
        <f t="shared" si="5"/>
        <v>1</v>
      </c>
      <c r="C18" s="22">
        <f t="shared" si="0"/>
        <v>45012</v>
      </c>
      <c r="D18" s="23">
        <v>89.06</v>
      </c>
      <c r="E18" s="23">
        <v>36.6</v>
      </c>
      <c r="F18" s="23">
        <v>93.625</v>
      </c>
      <c r="G18" s="24">
        <v>23.379999999999995</v>
      </c>
      <c r="H18" s="23">
        <v>135</v>
      </c>
      <c r="I18" s="25">
        <v>89.06</v>
      </c>
      <c r="J18" s="25">
        <f t="shared" si="1"/>
        <v>36.6</v>
      </c>
      <c r="K18" s="25">
        <f t="shared" si="2"/>
        <v>93.625</v>
      </c>
      <c r="L18" s="25">
        <f t="shared" si="3"/>
        <v>23.379999999999995</v>
      </c>
      <c r="M18" s="25">
        <f t="shared" si="4"/>
        <v>135</v>
      </c>
      <c r="O18" s="154" t="s">
        <v>59</v>
      </c>
      <c r="P18" s="35">
        <f>COUNTBLANK(D2:D201)</f>
        <v>2</v>
      </c>
      <c r="Q18" s="35">
        <v>200</v>
      </c>
      <c r="R18" s="36">
        <f>P18/Q18</f>
        <v>0.01</v>
      </c>
      <c r="S18" s="35" t="s">
        <v>55</v>
      </c>
      <c r="T18" s="37">
        <f>AVERAGE(D2:D201)</f>
        <v>38.152159090909102</v>
      </c>
      <c r="U18" s="37">
        <f>MEDIAN(D2:D201)</f>
        <v>38.209999999999994</v>
      </c>
      <c r="V18" s="37">
        <f>_xlfn.STDEV.P(D2:D201)</f>
        <v>24.490734073745152</v>
      </c>
      <c r="W18" s="38">
        <f>V18/T18</f>
        <v>0.64192262396968258</v>
      </c>
      <c r="X18" s="38">
        <f>CORREL($D$1:$D$201,D1:D201)</f>
        <v>1</v>
      </c>
      <c r="Y18" s="155" t="s">
        <v>63</v>
      </c>
    </row>
    <row r="19" spans="1:25" ht="15.75" customHeight="1" x14ac:dyDescent="0.5">
      <c r="A19" s="21">
        <v>18</v>
      </c>
      <c r="B19" s="21">
        <f t="shared" si="5"/>
        <v>2</v>
      </c>
      <c r="C19" s="22">
        <f t="shared" si="0"/>
        <v>45013</v>
      </c>
      <c r="D19" s="23">
        <v>62.279999999999994</v>
      </c>
      <c r="E19" s="23">
        <v>39.6</v>
      </c>
      <c r="F19" s="23">
        <v>55.8</v>
      </c>
      <c r="G19" s="24">
        <v>25.619999999999997</v>
      </c>
      <c r="H19" s="23">
        <v>258</v>
      </c>
      <c r="I19" s="25">
        <v>62.279999999999994</v>
      </c>
      <c r="J19" s="25">
        <f t="shared" si="1"/>
        <v>39.6</v>
      </c>
      <c r="K19" s="25">
        <f t="shared" si="2"/>
        <v>55.8</v>
      </c>
      <c r="L19" s="25">
        <f t="shared" si="3"/>
        <v>25.619999999999997</v>
      </c>
      <c r="M19" s="25">
        <f t="shared" si="4"/>
        <v>258</v>
      </c>
      <c r="O19" s="154" t="s">
        <v>60</v>
      </c>
      <c r="P19" s="35">
        <f>COUNTBLANK(E2:E201)</f>
        <v>2</v>
      </c>
      <c r="Q19" s="35">
        <v>200</v>
      </c>
      <c r="R19" s="36">
        <f>P19/Q19</f>
        <v>0.01</v>
      </c>
      <c r="S19" s="35" t="s">
        <v>55</v>
      </c>
      <c r="T19" s="39">
        <f>AVERAGE(E2:E201)</f>
        <v>24.888888888888918</v>
      </c>
      <c r="U19" s="37">
        <f>MEDIAN(E2:E201)</f>
        <v>23.450000000000003</v>
      </c>
      <c r="V19" s="37">
        <f>_xlfn.STDEV.P(E2:E201)</f>
        <v>21.768482864916837</v>
      </c>
      <c r="W19" s="38">
        <f>V19/T19</f>
        <v>0.87462654367969339</v>
      </c>
      <c r="X19" s="38">
        <f>CORREL($D$1:$D$201,E1:E201)</f>
        <v>2.3906026151480617E-2</v>
      </c>
      <c r="Y19" s="155" t="s">
        <v>56</v>
      </c>
    </row>
    <row r="20" spans="1:25" ht="15.75" customHeight="1" x14ac:dyDescent="0.5">
      <c r="A20" s="21">
        <v>19</v>
      </c>
      <c r="B20" s="21">
        <f t="shared" si="5"/>
        <v>3</v>
      </c>
      <c r="C20" s="22">
        <f t="shared" si="0"/>
        <v>45014</v>
      </c>
      <c r="D20" s="23">
        <v>14.84</v>
      </c>
      <c r="E20" s="23">
        <v>20.5</v>
      </c>
      <c r="F20" s="23">
        <v>18.3</v>
      </c>
      <c r="G20" s="24">
        <v>9.8500000000000014</v>
      </c>
      <c r="H20" s="23">
        <v>127</v>
      </c>
      <c r="I20" s="25">
        <v>14.84</v>
      </c>
      <c r="J20" s="25">
        <f t="shared" si="1"/>
        <v>20.5</v>
      </c>
      <c r="K20" s="25">
        <f t="shared" si="2"/>
        <v>18.3</v>
      </c>
      <c r="L20" s="25">
        <f t="shared" si="3"/>
        <v>9.8500000000000014</v>
      </c>
      <c r="M20" s="25">
        <f t="shared" si="4"/>
        <v>127</v>
      </c>
      <c r="O20" s="154" t="s">
        <v>61</v>
      </c>
      <c r="P20" s="35">
        <f>COUNTBLANK(F2:F201)</f>
        <v>1</v>
      </c>
      <c r="Q20" s="35">
        <v>200</v>
      </c>
      <c r="R20" s="36">
        <f t="shared" ref="R20:R22" si="6">P20/Q20</f>
        <v>5.0000000000000001E-3</v>
      </c>
      <c r="S20" s="35" t="s">
        <v>55</v>
      </c>
      <c r="T20" s="39">
        <f>AVERAGE(F2:F201)</f>
        <v>30.439949748743715</v>
      </c>
      <c r="U20" s="39">
        <f>MEDIAN(F2:F201)</f>
        <v>25.9</v>
      </c>
      <c r="V20" s="39">
        <f>_xlfn.STDEV.P(F2:F201)</f>
        <v>21.31415337087244</v>
      </c>
      <c r="W20" s="38">
        <f t="shared" ref="W20:W22" si="7">V20/T20</f>
        <v>0.70020330344836046</v>
      </c>
      <c r="X20" s="38">
        <f>CORREL($D$1:$D$201,F1:F201)</f>
        <v>2.1325368926873211E-2</v>
      </c>
      <c r="Y20" s="155" t="s">
        <v>56</v>
      </c>
    </row>
    <row r="21" spans="1:25" ht="15.75" customHeight="1" x14ac:dyDescent="0.5">
      <c r="A21" s="21">
        <v>20</v>
      </c>
      <c r="B21" s="21">
        <f t="shared" si="5"/>
        <v>4</v>
      </c>
      <c r="C21" s="22">
        <f t="shared" si="0"/>
        <v>45015</v>
      </c>
      <c r="D21" s="23">
        <v>32.46</v>
      </c>
      <c r="E21" s="23">
        <v>23.9</v>
      </c>
      <c r="F21" s="23">
        <v>19.100000000000001</v>
      </c>
      <c r="G21" s="24">
        <v>19.04</v>
      </c>
      <c r="H21" s="23">
        <v>148</v>
      </c>
      <c r="I21" s="25">
        <v>32.46</v>
      </c>
      <c r="J21" s="25">
        <f t="shared" si="1"/>
        <v>23.9</v>
      </c>
      <c r="K21" s="25">
        <f t="shared" si="2"/>
        <v>19.100000000000001</v>
      </c>
      <c r="L21" s="25">
        <f t="shared" si="3"/>
        <v>19.04</v>
      </c>
      <c r="M21" s="25">
        <f t="shared" si="4"/>
        <v>148</v>
      </c>
      <c r="O21" s="154" t="s">
        <v>8</v>
      </c>
      <c r="P21" s="35">
        <f>COUNTBLANK(G2:G201)</f>
        <v>3</v>
      </c>
      <c r="Q21" s="35">
        <v>200</v>
      </c>
      <c r="R21" s="36">
        <f>P21/Q21</f>
        <v>1.4999999999999999E-2</v>
      </c>
      <c r="S21" s="35" t="s">
        <v>55</v>
      </c>
      <c r="T21" s="39">
        <f>AVERAGE(G2:G201)</f>
        <v>18.896719543147213</v>
      </c>
      <c r="U21" s="39">
        <f>MEDIAN(G2:G201)</f>
        <v>17.100000000000001</v>
      </c>
      <c r="V21" s="39">
        <f>_xlfn.STDEV.P(G2:G201)</f>
        <v>13.884585145596391</v>
      </c>
      <c r="W21" s="38">
        <f>V21/T21</f>
        <v>0.7347616666423753</v>
      </c>
      <c r="X21" s="38">
        <f>CORREL($D$1:$D$201,G1:G201)</f>
        <v>0.21036584628071642</v>
      </c>
      <c r="Y21" s="155" t="s">
        <v>56</v>
      </c>
    </row>
    <row r="22" spans="1:25" ht="15.75" customHeight="1" thickBot="1" x14ac:dyDescent="0.55000000000000004">
      <c r="A22" s="21">
        <v>21</v>
      </c>
      <c r="B22" s="21">
        <f t="shared" si="5"/>
        <v>5</v>
      </c>
      <c r="C22" s="22">
        <f t="shared" si="0"/>
        <v>45016</v>
      </c>
      <c r="D22" s="23">
        <v>46.68</v>
      </c>
      <c r="E22" s="23">
        <v>27.7</v>
      </c>
      <c r="F22" s="23">
        <v>53.4</v>
      </c>
      <c r="G22" s="24">
        <v>14.329999999999998</v>
      </c>
      <c r="H22" s="23">
        <v>188</v>
      </c>
      <c r="I22" s="25">
        <v>46.68</v>
      </c>
      <c r="J22" s="25">
        <f t="shared" si="1"/>
        <v>27.7</v>
      </c>
      <c r="K22" s="25">
        <f t="shared" si="2"/>
        <v>53.4</v>
      </c>
      <c r="L22" s="25">
        <f t="shared" si="3"/>
        <v>14.329999999999998</v>
      </c>
      <c r="M22" s="25">
        <f t="shared" si="4"/>
        <v>188</v>
      </c>
      <c r="O22" s="156" t="s">
        <v>5</v>
      </c>
      <c r="P22" s="157">
        <f>COUNTBLANK(H2:H201)</f>
        <v>4</v>
      </c>
      <c r="Q22" s="157">
        <v>200</v>
      </c>
      <c r="R22" s="158">
        <f t="shared" si="6"/>
        <v>0.02</v>
      </c>
      <c r="S22" s="157" t="s">
        <v>55</v>
      </c>
      <c r="T22" s="159">
        <f>AVERAGE(H2:H201)</f>
        <v>154.12882653061226</v>
      </c>
      <c r="U22" s="159">
        <f>MEDIAN(H2:H201)</f>
        <v>139</v>
      </c>
      <c r="V22" s="159">
        <f>_xlfn.STDEV.P(H2:H201)</f>
        <v>70.42850114565104</v>
      </c>
      <c r="W22" s="160">
        <f t="shared" si="7"/>
        <v>0.45694567804720748</v>
      </c>
      <c r="X22" s="160">
        <f>CORREL($D$1:$D$201,H1:H201)</f>
        <v>0.39040997791206128</v>
      </c>
      <c r="Y22" s="161" t="s">
        <v>65</v>
      </c>
    </row>
    <row r="23" spans="1:25" ht="15.75" customHeight="1" x14ac:dyDescent="0.5">
      <c r="A23" s="21">
        <v>22</v>
      </c>
      <c r="B23" s="21">
        <f t="shared" si="5"/>
        <v>6</v>
      </c>
      <c r="C23" s="22">
        <f t="shared" si="0"/>
        <v>45017</v>
      </c>
      <c r="D23" s="23">
        <v>48.480000000000004</v>
      </c>
      <c r="E23" s="23">
        <v>123</v>
      </c>
      <c r="F23" s="23">
        <v>23.5</v>
      </c>
      <c r="G23" s="24">
        <v>16.89</v>
      </c>
      <c r="H23" s="23">
        <v>127</v>
      </c>
      <c r="I23" s="25">
        <v>48.480000000000004</v>
      </c>
      <c r="J23" s="25">
        <f t="shared" si="1"/>
        <v>123</v>
      </c>
      <c r="K23" s="25">
        <f t="shared" si="2"/>
        <v>23.5</v>
      </c>
      <c r="L23" s="25">
        <f t="shared" si="3"/>
        <v>16.89</v>
      </c>
      <c r="M23" s="25">
        <f t="shared" si="4"/>
        <v>127</v>
      </c>
      <c r="O23" s="17"/>
      <c r="P23" s="17"/>
      <c r="Q23" s="17"/>
      <c r="R23" s="17"/>
      <c r="S23" s="17"/>
      <c r="T23" s="17"/>
    </row>
    <row r="24" spans="1:25" ht="15.75" customHeight="1" x14ac:dyDescent="0.5">
      <c r="A24" s="21">
        <v>23</v>
      </c>
      <c r="B24" s="21">
        <f t="shared" si="5"/>
        <v>7</v>
      </c>
      <c r="C24" s="22">
        <f t="shared" si="0"/>
        <v>45018</v>
      </c>
      <c r="D24" s="23">
        <v>11.64</v>
      </c>
      <c r="E24" s="23">
        <v>15.9</v>
      </c>
      <c r="F24" s="23">
        <v>49.6</v>
      </c>
      <c r="G24" s="24">
        <v>9.4299999999999962</v>
      </c>
      <c r="H24" s="23"/>
      <c r="I24" s="25">
        <v>11.64</v>
      </c>
      <c r="J24" s="25">
        <f t="shared" si="1"/>
        <v>15.9</v>
      </c>
      <c r="K24" s="25">
        <f t="shared" si="2"/>
        <v>49.6</v>
      </c>
      <c r="L24" s="25">
        <f t="shared" si="3"/>
        <v>9.4299999999999962</v>
      </c>
      <c r="M24" s="25">
        <f t="shared" si="4"/>
        <v>170.89285714285714</v>
      </c>
      <c r="O24" s="18"/>
      <c r="P24" s="18"/>
      <c r="Q24" s="18"/>
      <c r="R24" s="19"/>
      <c r="S24" s="18"/>
      <c r="T24" s="18"/>
    </row>
    <row r="25" spans="1:25" ht="15.75" customHeight="1" x14ac:dyDescent="0.5">
      <c r="A25" s="21">
        <v>24</v>
      </c>
      <c r="B25" s="21">
        <f t="shared" si="5"/>
        <v>1</v>
      </c>
      <c r="C25" s="22">
        <f t="shared" si="0"/>
        <v>45019</v>
      </c>
      <c r="D25" s="23">
        <v>49.660000000000004</v>
      </c>
      <c r="E25" s="23">
        <v>16.899999999999999</v>
      </c>
      <c r="F25" s="23">
        <v>26.2</v>
      </c>
      <c r="G25" s="24">
        <v>20.8</v>
      </c>
      <c r="H25" s="23">
        <v>175</v>
      </c>
      <c r="I25" s="25">
        <v>49.660000000000004</v>
      </c>
      <c r="J25" s="25">
        <f t="shared" si="1"/>
        <v>16.899999999999999</v>
      </c>
      <c r="K25" s="25">
        <f t="shared" si="2"/>
        <v>26.2</v>
      </c>
      <c r="L25" s="25">
        <f t="shared" si="3"/>
        <v>20.8</v>
      </c>
      <c r="M25" s="25">
        <f t="shared" si="4"/>
        <v>175</v>
      </c>
      <c r="O25" s="18"/>
      <c r="P25" s="18"/>
      <c r="Q25" s="18"/>
      <c r="R25" s="19"/>
      <c r="S25" s="18"/>
      <c r="T25" s="18"/>
    </row>
    <row r="26" spans="1:25" ht="15.75" customHeight="1" x14ac:dyDescent="0.5">
      <c r="A26" s="21">
        <v>25</v>
      </c>
      <c r="B26" s="21">
        <f t="shared" si="5"/>
        <v>2</v>
      </c>
      <c r="C26" s="22">
        <f t="shared" si="0"/>
        <v>45020</v>
      </c>
      <c r="D26" s="23">
        <v>20.46</v>
      </c>
      <c r="E26" s="23">
        <v>12.6</v>
      </c>
      <c r="F26" s="23">
        <v>18.3</v>
      </c>
      <c r="G26" s="24">
        <v>5.2099999999999991</v>
      </c>
      <c r="H26" s="23">
        <v>110</v>
      </c>
      <c r="I26" s="25">
        <v>20.46</v>
      </c>
      <c r="J26" s="25">
        <f t="shared" si="1"/>
        <v>12.6</v>
      </c>
      <c r="K26" s="25">
        <f t="shared" si="2"/>
        <v>18.3</v>
      </c>
      <c r="L26" s="25">
        <f t="shared" si="3"/>
        <v>5.2099999999999991</v>
      </c>
      <c r="M26" s="25">
        <f t="shared" si="4"/>
        <v>110</v>
      </c>
      <c r="O26" s="18"/>
      <c r="P26" s="18"/>
      <c r="Q26" s="18"/>
      <c r="R26" s="19"/>
      <c r="S26" s="18"/>
      <c r="T26" s="18"/>
    </row>
    <row r="27" spans="1:25" ht="15.75" customHeight="1" x14ac:dyDescent="0.5">
      <c r="A27" s="21">
        <v>26</v>
      </c>
      <c r="B27" s="21">
        <f t="shared" si="5"/>
        <v>3</v>
      </c>
      <c r="C27" s="22">
        <f t="shared" si="0"/>
        <v>45021</v>
      </c>
      <c r="D27" s="23">
        <v>59.58</v>
      </c>
      <c r="E27" s="23">
        <v>3.5</v>
      </c>
      <c r="F27" s="23">
        <v>19.5</v>
      </c>
      <c r="G27" s="24">
        <v>20.239999999999998</v>
      </c>
      <c r="H27" s="23">
        <v>139</v>
      </c>
      <c r="I27" s="25">
        <v>59.58</v>
      </c>
      <c r="J27" s="25">
        <f t="shared" si="1"/>
        <v>3.5</v>
      </c>
      <c r="K27" s="25">
        <f t="shared" si="2"/>
        <v>19.5</v>
      </c>
      <c r="L27" s="25">
        <f t="shared" si="3"/>
        <v>20.239999999999998</v>
      </c>
      <c r="M27" s="25">
        <f t="shared" si="4"/>
        <v>139</v>
      </c>
      <c r="O27" s="18"/>
      <c r="P27" s="18"/>
      <c r="Q27" s="18"/>
      <c r="R27" s="19"/>
      <c r="S27" s="18"/>
      <c r="T27" s="18"/>
    </row>
    <row r="28" spans="1:25" ht="15.75" customHeight="1" x14ac:dyDescent="0.5">
      <c r="A28" s="21">
        <v>27</v>
      </c>
      <c r="B28" s="21">
        <f t="shared" si="5"/>
        <v>4</v>
      </c>
      <c r="C28" s="22">
        <f t="shared" si="0"/>
        <v>45022</v>
      </c>
      <c r="D28" s="23">
        <v>38.58</v>
      </c>
      <c r="E28" s="23">
        <v>29.3</v>
      </c>
      <c r="F28" s="23">
        <v>12.6</v>
      </c>
      <c r="G28" s="24">
        <v>23.900000000000002</v>
      </c>
      <c r="H28" s="23">
        <v>167</v>
      </c>
      <c r="I28" s="25">
        <v>38.58</v>
      </c>
      <c r="J28" s="25">
        <f t="shared" si="1"/>
        <v>29.3</v>
      </c>
      <c r="K28" s="25">
        <f t="shared" si="2"/>
        <v>12.6</v>
      </c>
      <c r="L28" s="25">
        <f t="shared" si="3"/>
        <v>23.900000000000002</v>
      </c>
      <c r="M28" s="25">
        <f t="shared" si="4"/>
        <v>167</v>
      </c>
      <c r="O28" s="18"/>
      <c r="P28" s="18"/>
      <c r="Q28" s="18"/>
      <c r="R28" s="19"/>
      <c r="S28" s="18"/>
      <c r="T28" s="18"/>
    </row>
    <row r="29" spans="1:25" ht="15.75" customHeight="1" x14ac:dyDescent="0.5">
      <c r="A29" s="21">
        <v>28</v>
      </c>
      <c r="B29" s="21">
        <f t="shared" si="5"/>
        <v>5</v>
      </c>
      <c r="C29" s="22">
        <f t="shared" si="0"/>
        <v>45023</v>
      </c>
      <c r="D29" s="23">
        <v>49.019999999999996</v>
      </c>
      <c r="E29" s="23">
        <v>16.7</v>
      </c>
      <c r="F29" s="23">
        <v>22.9</v>
      </c>
      <c r="G29" s="24">
        <v>23.2</v>
      </c>
      <c r="H29" s="23">
        <v>168</v>
      </c>
      <c r="I29" s="25">
        <v>49.019999999999996</v>
      </c>
      <c r="J29" s="25">
        <f t="shared" si="1"/>
        <v>16.7</v>
      </c>
      <c r="K29" s="25">
        <f t="shared" si="2"/>
        <v>22.9</v>
      </c>
      <c r="L29" s="25">
        <f t="shared" si="3"/>
        <v>23.2</v>
      </c>
      <c r="M29" s="25">
        <f t="shared" si="4"/>
        <v>168</v>
      </c>
    </row>
    <row r="30" spans="1:25" ht="15.75" customHeight="1" x14ac:dyDescent="0.5">
      <c r="A30" s="21">
        <v>29</v>
      </c>
      <c r="B30" s="21">
        <f t="shared" si="5"/>
        <v>6</v>
      </c>
      <c r="C30" s="22">
        <f t="shared" si="0"/>
        <v>45024</v>
      </c>
      <c r="D30" s="23">
        <v>52.760000000000005</v>
      </c>
      <c r="E30" s="23">
        <v>27.1</v>
      </c>
      <c r="F30" s="23">
        <v>22.9</v>
      </c>
      <c r="G30" s="24">
        <v>29.270000000000007</v>
      </c>
      <c r="H30" s="23">
        <v>199</v>
      </c>
      <c r="I30" s="25">
        <v>52.760000000000005</v>
      </c>
      <c r="J30" s="25">
        <f t="shared" si="1"/>
        <v>27.1</v>
      </c>
      <c r="K30" s="25">
        <f t="shared" si="2"/>
        <v>22.9</v>
      </c>
      <c r="L30" s="25">
        <f t="shared" si="3"/>
        <v>29.270000000000007</v>
      </c>
      <c r="M30" s="25">
        <f t="shared" si="4"/>
        <v>199</v>
      </c>
    </row>
    <row r="31" spans="1:25" ht="15.75" customHeight="1" x14ac:dyDescent="0.5">
      <c r="A31" s="21">
        <v>30</v>
      </c>
      <c r="B31" s="21">
        <f t="shared" si="5"/>
        <v>7</v>
      </c>
      <c r="C31" s="22">
        <f t="shared" si="0"/>
        <v>45025</v>
      </c>
      <c r="D31" s="23">
        <v>15.12</v>
      </c>
      <c r="E31" s="23">
        <v>16</v>
      </c>
      <c r="F31" s="23">
        <v>40.799999999999997</v>
      </c>
      <c r="G31" s="24">
        <v>18.739999999999998</v>
      </c>
      <c r="H31" s="23">
        <v>123</v>
      </c>
      <c r="I31" s="25">
        <v>15.12</v>
      </c>
      <c r="J31" s="25">
        <f t="shared" si="1"/>
        <v>16</v>
      </c>
      <c r="K31" s="25">
        <f t="shared" si="2"/>
        <v>40.799999999999997</v>
      </c>
      <c r="L31" s="25">
        <f t="shared" si="3"/>
        <v>18.739999999999998</v>
      </c>
      <c r="M31" s="25">
        <f t="shared" si="4"/>
        <v>123</v>
      </c>
    </row>
    <row r="32" spans="1:25" ht="15.75" customHeight="1" x14ac:dyDescent="0.5">
      <c r="A32" s="21">
        <v>31</v>
      </c>
      <c r="B32" s="21">
        <f t="shared" si="5"/>
        <v>1</v>
      </c>
      <c r="C32" s="22">
        <f t="shared" si="0"/>
        <v>45026</v>
      </c>
      <c r="D32" s="23">
        <v>59.58</v>
      </c>
      <c r="E32" s="23">
        <v>28.3</v>
      </c>
      <c r="F32" s="23">
        <v>43.2</v>
      </c>
      <c r="G32" s="24">
        <v>26.159999999999997</v>
      </c>
      <c r="H32" s="23">
        <v>231</v>
      </c>
      <c r="I32" s="25">
        <v>59.58</v>
      </c>
      <c r="J32" s="25">
        <f t="shared" si="1"/>
        <v>28.3</v>
      </c>
      <c r="K32" s="25">
        <f t="shared" si="2"/>
        <v>43.2</v>
      </c>
      <c r="L32" s="25">
        <f t="shared" si="3"/>
        <v>26.159999999999997</v>
      </c>
      <c r="M32" s="25">
        <f t="shared" si="4"/>
        <v>231</v>
      </c>
    </row>
    <row r="33" spans="1:20" ht="15.75" customHeight="1" x14ac:dyDescent="0.5">
      <c r="A33" s="21">
        <v>32</v>
      </c>
      <c r="B33" s="21">
        <f t="shared" si="5"/>
        <v>2</v>
      </c>
      <c r="C33" s="22">
        <f t="shared" si="0"/>
        <v>45027</v>
      </c>
      <c r="D33" s="23">
        <v>92.987500000000011</v>
      </c>
      <c r="E33" s="23">
        <v>17.399999999999999</v>
      </c>
      <c r="F33" s="23">
        <v>38.6</v>
      </c>
      <c r="G33" s="24">
        <v>37.253750000000011</v>
      </c>
      <c r="H33" s="23">
        <v>126</v>
      </c>
      <c r="I33" s="25">
        <v>92.987500000000011</v>
      </c>
      <c r="J33" s="25">
        <f t="shared" si="1"/>
        <v>17.399999999999999</v>
      </c>
      <c r="K33" s="25">
        <f t="shared" si="2"/>
        <v>38.6</v>
      </c>
      <c r="L33" s="25">
        <f t="shared" si="3"/>
        <v>37.253750000000011</v>
      </c>
      <c r="M33" s="25">
        <f t="shared" si="4"/>
        <v>126</v>
      </c>
      <c r="O33" s="17"/>
      <c r="P33" s="17"/>
      <c r="Q33" s="17"/>
      <c r="R33" s="17"/>
      <c r="S33" s="17"/>
      <c r="T33" s="17"/>
    </row>
    <row r="34" spans="1:20" ht="15.75" customHeight="1" x14ac:dyDescent="0.5">
      <c r="A34" s="21">
        <v>33</v>
      </c>
      <c r="B34" s="21">
        <f t="shared" si="5"/>
        <v>3</v>
      </c>
      <c r="C34" s="22">
        <f t="shared" si="0"/>
        <v>45028</v>
      </c>
      <c r="D34" s="23">
        <v>20.440000000000001</v>
      </c>
      <c r="E34" s="23">
        <v>1.5</v>
      </c>
      <c r="F34" s="23">
        <v>30</v>
      </c>
      <c r="G34" s="24">
        <v>18.47</v>
      </c>
      <c r="H34" s="23">
        <v>112</v>
      </c>
      <c r="I34" s="25">
        <v>20.440000000000001</v>
      </c>
      <c r="J34" s="25">
        <f t="shared" ref="J34:J65" si="8">IF(ISBLANK(E34),U$19,E34)</f>
        <v>1.5</v>
      </c>
      <c r="K34" s="25">
        <f t="shared" ref="K34:K65" si="9">IF(ISBLANK(F34),U$20,F34)</f>
        <v>30</v>
      </c>
      <c r="L34" s="25">
        <f t="shared" ref="L34:L65" si="10">IF(ISBLANK(G34),U$21,G34)</f>
        <v>18.47</v>
      </c>
      <c r="M34" s="25">
        <f t="shared" ref="M34:M65" si="11">IF(ISBLANK(H34),VLOOKUP(B34,$O$1:$P$9,2,TRUE),H34)</f>
        <v>112</v>
      </c>
      <c r="O34" s="18"/>
      <c r="P34" s="18"/>
      <c r="Q34" s="18"/>
      <c r="R34" s="19"/>
      <c r="S34" s="18"/>
      <c r="T34" s="18"/>
    </row>
    <row r="35" spans="1:20" ht="15.75" customHeight="1" x14ac:dyDescent="0.5">
      <c r="A35" s="21">
        <v>34</v>
      </c>
      <c r="B35" s="21">
        <f t="shared" si="5"/>
        <v>4</v>
      </c>
      <c r="C35" s="22">
        <f t="shared" si="0"/>
        <v>45029</v>
      </c>
      <c r="D35" s="23">
        <v>61.120000000000005</v>
      </c>
      <c r="E35" s="23">
        <v>20</v>
      </c>
      <c r="F35" s="23">
        <v>0.3</v>
      </c>
      <c r="G35" s="24">
        <v>36.440000000000005</v>
      </c>
      <c r="H35" s="23">
        <v>184</v>
      </c>
      <c r="I35" s="25">
        <v>61.120000000000005</v>
      </c>
      <c r="J35" s="25">
        <f t="shared" si="8"/>
        <v>20</v>
      </c>
      <c r="K35" s="25">
        <f t="shared" si="9"/>
        <v>0.3</v>
      </c>
      <c r="L35" s="25">
        <f t="shared" si="10"/>
        <v>36.440000000000005</v>
      </c>
      <c r="M35" s="25">
        <f t="shared" si="11"/>
        <v>184</v>
      </c>
      <c r="O35" s="18"/>
      <c r="P35" s="18"/>
      <c r="Q35" s="18"/>
      <c r="R35" s="19"/>
      <c r="S35" s="18"/>
      <c r="T35" s="18"/>
    </row>
    <row r="36" spans="1:20" ht="15.75" customHeight="1" x14ac:dyDescent="0.5">
      <c r="A36" s="21">
        <v>35</v>
      </c>
      <c r="B36" s="21">
        <f t="shared" si="5"/>
        <v>5</v>
      </c>
      <c r="C36" s="22">
        <f t="shared" si="0"/>
        <v>45030</v>
      </c>
      <c r="D36" s="23">
        <v>24.14</v>
      </c>
      <c r="E36" s="23">
        <v>1.4</v>
      </c>
      <c r="F36" s="23">
        <v>7.4</v>
      </c>
      <c r="G36" s="24">
        <v>7.3099999999999987</v>
      </c>
      <c r="H36" s="23">
        <v>91.5</v>
      </c>
      <c r="I36" s="25">
        <v>24.14</v>
      </c>
      <c r="J36" s="25">
        <f t="shared" si="8"/>
        <v>1.4</v>
      </c>
      <c r="K36" s="25">
        <f t="shared" si="9"/>
        <v>7.4</v>
      </c>
      <c r="L36" s="25">
        <f t="shared" si="10"/>
        <v>7.3099999999999987</v>
      </c>
      <c r="M36" s="25">
        <f t="shared" si="11"/>
        <v>91.5</v>
      </c>
      <c r="O36" s="18"/>
      <c r="P36" s="18"/>
      <c r="Q36" s="18"/>
      <c r="R36" s="19"/>
      <c r="S36" s="18"/>
      <c r="T36" s="18"/>
    </row>
    <row r="37" spans="1:20" ht="15.75" customHeight="1" x14ac:dyDescent="0.5">
      <c r="A37" s="21">
        <v>36</v>
      </c>
      <c r="B37" s="21">
        <f t="shared" si="5"/>
        <v>6</v>
      </c>
      <c r="C37" s="22">
        <f t="shared" si="0"/>
        <v>45031</v>
      </c>
      <c r="D37" s="23">
        <v>62.14</v>
      </c>
      <c r="E37" s="23">
        <v>4.0999999999999996</v>
      </c>
      <c r="F37" s="23">
        <v>8.5</v>
      </c>
      <c r="G37" s="24">
        <v>27.72</v>
      </c>
      <c r="H37" s="23">
        <v>129</v>
      </c>
      <c r="I37" s="25">
        <v>62.14</v>
      </c>
      <c r="J37" s="25">
        <f t="shared" si="8"/>
        <v>4.0999999999999996</v>
      </c>
      <c r="K37" s="25">
        <f t="shared" si="9"/>
        <v>8.5</v>
      </c>
      <c r="L37" s="25">
        <f t="shared" si="10"/>
        <v>27.72</v>
      </c>
      <c r="M37" s="25">
        <f t="shared" si="11"/>
        <v>129</v>
      </c>
      <c r="O37" s="18"/>
      <c r="P37" s="18"/>
      <c r="Q37" s="18"/>
      <c r="R37" s="19"/>
      <c r="S37" s="18"/>
      <c r="T37" s="18"/>
    </row>
    <row r="38" spans="1:20" ht="15.75" customHeight="1" x14ac:dyDescent="0.5">
      <c r="A38" s="21">
        <v>37</v>
      </c>
      <c r="B38" s="21">
        <f t="shared" si="5"/>
        <v>7</v>
      </c>
      <c r="C38" s="22">
        <f t="shared" si="0"/>
        <v>45032</v>
      </c>
      <c r="D38" s="23">
        <v>56.379999999999995</v>
      </c>
      <c r="E38" s="23">
        <v>43.8</v>
      </c>
      <c r="F38" s="23">
        <v>5</v>
      </c>
      <c r="G38" s="24">
        <v>46.589999999999996</v>
      </c>
      <c r="H38" s="23">
        <v>256</v>
      </c>
      <c r="I38" s="25">
        <v>56.379999999999995</v>
      </c>
      <c r="J38" s="25">
        <f t="shared" si="8"/>
        <v>43.8</v>
      </c>
      <c r="K38" s="25">
        <f t="shared" si="9"/>
        <v>5</v>
      </c>
      <c r="L38" s="25">
        <f t="shared" si="10"/>
        <v>46.589999999999996</v>
      </c>
      <c r="M38" s="25">
        <f t="shared" si="11"/>
        <v>256</v>
      </c>
      <c r="O38" s="18"/>
      <c r="P38" s="18"/>
      <c r="Q38" s="18"/>
      <c r="R38" s="19"/>
      <c r="S38" s="18"/>
      <c r="T38" s="18"/>
    </row>
    <row r="39" spans="1:20" ht="15.75" customHeight="1" x14ac:dyDescent="0.5">
      <c r="A39" s="21">
        <v>38</v>
      </c>
      <c r="B39" s="21">
        <f t="shared" si="5"/>
        <v>1</v>
      </c>
      <c r="C39" s="22">
        <f t="shared" si="0"/>
        <v>45033</v>
      </c>
      <c r="D39" s="23">
        <v>24.94</v>
      </c>
      <c r="E39" s="23">
        <v>49.4</v>
      </c>
      <c r="F39" s="23">
        <v>45.7</v>
      </c>
      <c r="G39" s="24">
        <v>13.89</v>
      </c>
      <c r="H39" s="23">
        <v>152</v>
      </c>
      <c r="I39" s="25">
        <v>24.94</v>
      </c>
      <c r="J39" s="25">
        <f t="shared" si="8"/>
        <v>49.4</v>
      </c>
      <c r="K39" s="25">
        <f t="shared" si="9"/>
        <v>45.7</v>
      </c>
      <c r="L39" s="25">
        <f t="shared" si="10"/>
        <v>13.89</v>
      </c>
      <c r="M39" s="25">
        <f t="shared" si="11"/>
        <v>152</v>
      </c>
    </row>
    <row r="40" spans="1:20" ht="15.75" customHeight="1" x14ac:dyDescent="0.5">
      <c r="A40" s="21">
        <v>39</v>
      </c>
      <c r="B40" s="21">
        <f t="shared" si="5"/>
        <v>2</v>
      </c>
      <c r="C40" s="22">
        <f t="shared" si="0"/>
        <v>45034</v>
      </c>
      <c r="D40" s="23">
        <v>14.620000000000001</v>
      </c>
      <c r="E40" s="23">
        <v>26.7</v>
      </c>
      <c r="F40" s="23">
        <v>35.1</v>
      </c>
      <c r="G40" s="24">
        <v>3.6199999999999992</v>
      </c>
      <c r="H40" s="23">
        <v>114</v>
      </c>
      <c r="I40" s="25">
        <v>14.620000000000001</v>
      </c>
      <c r="J40" s="25">
        <f t="shared" si="8"/>
        <v>26.7</v>
      </c>
      <c r="K40" s="25">
        <f t="shared" si="9"/>
        <v>35.1</v>
      </c>
      <c r="L40" s="25">
        <f t="shared" si="10"/>
        <v>3.6199999999999992</v>
      </c>
      <c r="M40" s="25">
        <f t="shared" si="11"/>
        <v>114</v>
      </c>
    </row>
    <row r="41" spans="1:20" ht="15.75" customHeight="1" x14ac:dyDescent="0.5">
      <c r="A41" s="21">
        <v>40</v>
      </c>
      <c r="B41" s="21">
        <f t="shared" si="5"/>
        <v>3</v>
      </c>
      <c r="C41" s="22">
        <f t="shared" si="0"/>
        <v>45035</v>
      </c>
      <c r="D41" s="23">
        <v>53.6</v>
      </c>
      <c r="E41" s="23">
        <v>37.700000000000003</v>
      </c>
      <c r="F41" s="23">
        <v>32</v>
      </c>
      <c r="G41" s="24">
        <v>28.850000000000005</v>
      </c>
      <c r="H41" s="23">
        <v>230</v>
      </c>
      <c r="I41" s="25">
        <v>53.6</v>
      </c>
      <c r="J41" s="25">
        <f t="shared" si="8"/>
        <v>37.700000000000003</v>
      </c>
      <c r="K41" s="25">
        <f t="shared" si="9"/>
        <v>32</v>
      </c>
      <c r="L41" s="25">
        <f t="shared" si="10"/>
        <v>28.850000000000005</v>
      </c>
      <c r="M41" s="25">
        <f t="shared" si="11"/>
        <v>230</v>
      </c>
    </row>
    <row r="42" spans="1:20" ht="15.75" customHeight="1" x14ac:dyDescent="0.5">
      <c r="A42" s="21">
        <v>41</v>
      </c>
      <c r="B42" s="21">
        <f t="shared" si="5"/>
        <v>4</v>
      </c>
      <c r="C42" s="22">
        <f t="shared" si="0"/>
        <v>45036</v>
      </c>
      <c r="D42" s="23">
        <v>45.5</v>
      </c>
      <c r="E42" s="23">
        <v>22.3</v>
      </c>
      <c r="F42" s="23">
        <v>31.6</v>
      </c>
      <c r="G42" s="24">
        <v>18.759999999999998</v>
      </c>
      <c r="H42" s="23">
        <v>179</v>
      </c>
      <c r="I42" s="25">
        <v>45.5</v>
      </c>
      <c r="J42" s="25">
        <f t="shared" si="8"/>
        <v>22.3</v>
      </c>
      <c r="K42" s="25">
        <f t="shared" si="9"/>
        <v>31.6</v>
      </c>
      <c r="L42" s="25">
        <f t="shared" si="10"/>
        <v>18.759999999999998</v>
      </c>
      <c r="M42" s="25">
        <f t="shared" si="11"/>
        <v>179</v>
      </c>
    </row>
    <row r="43" spans="1:20" ht="15.75" customHeight="1" x14ac:dyDescent="0.5">
      <c r="A43" s="21">
        <v>42</v>
      </c>
      <c r="B43" s="21">
        <f t="shared" si="5"/>
        <v>5</v>
      </c>
      <c r="C43" s="22">
        <f t="shared" si="0"/>
        <v>45037</v>
      </c>
      <c r="D43" s="23">
        <v>40.4</v>
      </c>
      <c r="E43" s="23">
        <v>33.4</v>
      </c>
      <c r="F43" s="23">
        <v>38.700000000000003</v>
      </c>
      <c r="G43" s="24">
        <v>18.919999999999995</v>
      </c>
      <c r="H43" s="23">
        <v>186</v>
      </c>
      <c r="I43" s="25">
        <v>40.4</v>
      </c>
      <c r="J43" s="25">
        <f t="shared" si="8"/>
        <v>33.4</v>
      </c>
      <c r="K43" s="25">
        <f t="shared" si="9"/>
        <v>38.700000000000003</v>
      </c>
      <c r="L43" s="25">
        <f t="shared" si="10"/>
        <v>18.919999999999995</v>
      </c>
      <c r="M43" s="25">
        <f t="shared" si="11"/>
        <v>186</v>
      </c>
    </row>
    <row r="44" spans="1:20" ht="15.75" customHeight="1" x14ac:dyDescent="0.5">
      <c r="A44" s="21">
        <v>43</v>
      </c>
      <c r="B44" s="21">
        <f t="shared" si="5"/>
        <v>6</v>
      </c>
      <c r="C44" s="22">
        <f t="shared" si="0"/>
        <v>45038</v>
      </c>
      <c r="D44" s="23">
        <v>67.72</v>
      </c>
      <c r="E44" s="23">
        <v>27.7</v>
      </c>
      <c r="F44" s="23">
        <v>1.8</v>
      </c>
      <c r="G44" s="24">
        <v>42.49</v>
      </c>
      <c r="H44" s="23">
        <v>226</v>
      </c>
      <c r="I44" s="25">
        <v>67.72</v>
      </c>
      <c r="J44" s="25">
        <f t="shared" si="8"/>
        <v>27.7</v>
      </c>
      <c r="K44" s="25">
        <f t="shared" si="9"/>
        <v>1.8</v>
      </c>
      <c r="L44" s="25">
        <f t="shared" si="10"/>
        <v>42.49</v>
      </c>
      <c r="M44" s="25">
        <f t="shared" si="11"/>
        <v>226</v>
      </c>
    </row>
    <row r="45" spans="1:20" ht="15.75" customHeight="1" x14ac:dyDescent="0.5">
      <c r="A45" s="21">
        <v>44</v>
      </c>
      <c r="B45" s="21">
        <f t="shared" si="5"/>
        <v>7</v>
      </c>
      <c r="C45" s="22">
        <f t="shared" si="0"/>
        <v>45039</v>
      </c>
      <c r="D45" s="23">
        <v>51.38</v>
      </c>
      <c r="E45" s="23">
        <v>8.4</v>
      </c>
      <c r="F45" s="23">
        <v>26.4</v>
      </c>
      <c r="G45" s="24">
        <v>14.33</v>
      </c>
      <c r="H45" s="23">
        <v>149</v>
      </c>
      <c r="I45" s="25">
        <v>51.38</v>
      </c>
      <c r="J45" s="25">
        <f t="shared" si="8"/>
        <v>8.4</v>
      </c>
      <c r="K45" s="25">
        <f t="shared" si="9"/>
        <v>26.4</v>
      </c>
      <c r="L45" s="25">
        <f t="shared" si="10"/>
        <v>14.33</v>
      </c>
      <c r="M45" s="25">
        <f t="shared" si="11"/>
        <v>149</v>
      </c>
    </row>
    <row r="46" spans="1:20" ht="15.75" customHeight="1" x14ac:dyDescent="0.5">
      <c r="A46" s="21">
        <v>45</v>
      </c>
      <c r="B46" s="21">
        <f t="shared" si="5"/>
        <v>1</v>
      </c>
      <c r="C46" s="22">
        <f t="shared" si="0"/>
        <v>45040</v>
      </c>
      <c r="D46" s="23">
        <v>12.02</v>
      </c>
      <c r="E46" s="23">
        <v>25.7</v>
      </c>
      <c r="F46" s="23">
        <v>43.3</v>
      </c>
      <c r="G46" s="24">
        <v>18.04</v>
      </c>
      <c r="H46" s="23">
        <v>89</v>
      </c>
      <c r="I46" s="25">
        <v>12.02</v>
      </c>
      <c r="J46" s="25">
        <f t="shared" si="8"/>
        <v>25.7</v>
      </c>
      <c r="K46" s="25">
        <f t="shared" si="9"/>
        <v>43.3</v>
      </c>
      <c r="L46" s="25">
        <f t="shared" si="10"/>
        <v>18.04</v>
      </c>
      <c r="M46" s="25">
        <f t="shared" si="11"/>
        <v>89</v>
      </c>
    </row>
    <row r="47" spans="1:20" ht="15.75" customHeight="1" x14ac:dyDescent="0.5">
      <c r="A47" s="21">
        <v>46</v>
      </c>
      <c r="B47" s="21">
        <f t="shared" si="5"/>
        <v>2</v>
      </c>
      <c r="C47" s="22">
        <f t="shared" si="0"/>
        <v>45041</v>
      </c>
      <c r="D47" s="23">
        <v>42.019999999999996</v>
      </c>
      <c r="E47" s="23">
        <v>22.5</v>
      </c>
      <c r="F47" s="23">
        <v>31.5</v>
      </c>
      <c r="G47" s="24">
        <v>16.159999999999997</v>
      </c>
      <c r="H47" s="23">
        <v>165</v>
      </c>
      <c r="I47" s="25">
        <v>42.019999999999996</v>
      </c>
      <c r="J47" s="25">
        <f t="shared" si="8"/>
        <v>22.5</v>
      </c>
      <c r="K47" s="25">
        <f t="shared" si="9"/>
        <v>31.5</v>
      </c>
      <c r="L47" s="25">
        <f t="shared" si="10"/>
        <v>16.159999999999997</v>
      </c>
      <c r="M47" s="25">
        <f t="shared" si="11"/>
        <v>165</v>
      </c>
    </row>
    <row r="48" spans="1:20" ht="15.75" customHeight="1" x14ac:dyDescent="0.5">
      <c r="A48" s="21">
        <v>47</v>
      </c>
      <c r="B48" s="21">
        <f t="shared" si="5"/>
        <v>3</v>
      </c>
      <c r="C48" s="22">
        <f t="shared" si="0"/>
        <v>45042</v>
      </c>
      <c r="D48" s="23">
        <v>18.940000000000001</v>
      </c>
      <c r="E48" s="23">
        <v>9.9</v>
      </c>
      <c r="F48" s="23">
        <v>35.700000000000003</v>
      </c>
      <c r="G48" s="24">
        <v>19.64</v>
      </c>
      <c r="H48" s="23">
        <v>119</v>
      </c>
      <c r="I48" s="25">
        <v>18.940000000000001</v>
      </c>
      <c r="J48" s="25">
        <f t="shared" si="8"/>
        <v>9.9</v>
      </c>
      <c r="K48" s="25">
        <f t="shared" si="9"/>
        <v>35.700000000000003</v>
      </c>
      <c r="L48" s="25">
        <f t="shared" si="10"/>
        <v>19.64</v>
      </c>
      <c r="M48" s="25">
        <f t="shared" si="11"/>
        <v>119</v>
      </c>
    </row>
    <row r="49" spans="1:13" ht="15.75" customHeight="1" x14ac:dyDescent="0.5">
      <c r="A49" s="21">
        <v>48</v>
      </c>
      <c r="B49" s="21">
        <f t="shared" si="5"/>
        <v>4</v>
      </c>
      <c r="C49" s="22">
        <f t="shared" si="0"/>
        <v>45043</v>
      </c>
      <c r="D49" s="23">
        <v>52.980000000000004</v>
      </c>
      <c r="E49" s="23">
        <v>41.5</v>
      </c>
      <c r="F49" s="23">
        <v>18.5</v>
      </c>
      <c r="G49" s="24">
        <v>37.340000000000003</v>
      </c>
      <c r="H49" s="23">
        <v>245</v>
      </c>
      <c r="I49" s="25">
        <v>52.980000000000004</v>
      </c>
      <c r="J49" s="25">
        <f t="shared" si="8"/>
        <v>41.5</v>
      </c>
      <c r="K49" s="25">
        <f t="shared" si="9"/>
        <v>18.5</v>
      </c>
      <c r="L49" s="25">
        <f t="shared" si="10"/>
        <v>37.340000000000003</v>
      </c>
      <c r="M49" s="25">
        <f t="shared" si="11"/>
        <v>245</v>
      </c>
    </row>
    <row r="50" spans="1:13" ht="15.75" customHeight="1" x14ac:dyDescent="0.5">
      <c r="A50" s="21">
        <v>49</v>
      </c>
      <c r="B50" s="21">
        <f t="shared" si="5"/>
        <v>5</v>
      </c>
      <c r="C50" s="22">
        <f t="shared" si="0"/>
        <v>45044</v>
      </c>
      <c r="D50" s="23">
        <v>46.44</v>
      </c>
      <c r="E50" s="23">
        <v>15.8</v>
      </c>
      <c r="F50" s="23">
        <v>49.9</v>
      </c>
      <c r="G50" s="24">
        <v>10.659999999999997</v>
      </c>
      <c r="H50" s="23">
        <v>149</v>
      </c>
      <c r="I50" s="25">
        <v>46.44</v>
      </c>
      <c r="J50" s="25">
        <f t="shared" si="8"/>
        <v>15.8</v>
      </c>
      <c r="K50" s="25">
        <f t="shared" si="9"/>
        <v>49.9</v>
      </c>
      <c r="L50" s="25">
        <f t="shared" si="10"/>
        <v>10.659999999999997</v>
      </c>
      <c r="M50" s="25">
        <f t="shared" si="11"/>
        <v>149</v>
      </c>
    </row>
    <row r="51" spans="1:13" ht="15.75" customHeight="1" x14ac:dyDescent="0.5">
      <c r="A51" s="21">
        <v>50</v>
      </c>
      <c r="B51" s="21">
        <f t="shared" si="5"/>
        <v>6</v>
      </c>
      <c r="C51" s="22">
        <f t="shared" si="0"/>
        <v>45045</v>
      </c>
      <c r="D51" s="23">
        <v>14.38</v>
      </c>
      <c r="E51" s="23">
        <v>11.7</v>
      </c>
      <c r="F51" s="23">
        <v>36.799999999999997</v>
      </c>
      <c r="G51" s="24">
        <v>17.82</v>
      </c>
      <c r="H51" s="23">
        <v>111</v>
      </c>
      <c r="I51" s="25">
        <v>14.38</v>
      </c>
      <c r="J51" s="25">
        <f t="shared" si="8"/>
        <v>11.7</v>
      </c>
      <c r="K51" s="25">
        <f t="shared" si="9"/>
        <v>36.799999999999997</v>
      </c>
      <c r="L51" s="25">
        <f t="shared" si="10"/>
        <v>17.82</v>
      </c>
      <c r="M51" s="25">
        <f t="shared" si="11"/>
        <v>111</v>
      </c>
    </row>
    <row r="52" spans="1:13" ht="15.75" customHeight="1" x14ac:dyDescent="0.5">
      <c r="A52" s="21">
        <v>51</v>
      </c>
      <c r="B52" s="21">
        <f t="shared" si="5"/>
        <v>7</v>
      </c>
      <c r="C52" s="22">
        <f t="shared" si="0"/>
        <v>45046</v>
      </c>
      <c r="D52" s="23">
        <v>43.96</v>
      </c>
      <c r="E52" s="23">
        <v>3.1</v>
      </c>
      <c r="F52" s="23">
        <v>34.6</v>
      </c>
      <c r="G52" s="24">
        <v>7.6899999999999995</v>
      </c>
      <c r="H52" s="23">
        <v>122</v>
      </c>
      <c r="I52" s="25">
        <v>43.96</v>
      </c>
      <c r="J52" s="25">
        <f t="shared" si="8"/>
        <v>3.1</v>
      </c>
      <c r="K52" s="25">
        <f t="shared" si="9"/>
        <v>34.6</v>
      </c>
      <c r="L52" s="25">
        <f t="shared" si="10"/>
        <v>7.6899999999999995</v>
      </c>
      <c r="M52" s="25">
        <f t="shared" si="11"/>
        <v>122</v>
      </c>
    </row>
    <row r="53" spans="1:13" ht="15.75" customHeight="1" x14ac:dyDescent="0.5">
      <c r="A53" s="21">
        <v>52</v>
      </c>
      <c r="B53" s="21">
        <f t="shared" si="5"/>
        <v>1</v>
      </c>
      <c r="C53" s="22">
        <f t="shared" si="0"/>
        <v>45047</v>
      </c>
      <c r="D53" s="23">
        <v>29.080000000000002</v>
      </c>
      <c r="E53" s="23">
        <v>9.6</v>
      </c>
      <c r="F53" s="23">
        <v>3.6</v>
      </c>
      <c r="G53" s="24">
        <v>13.4</v>
      </c>
      <c r="H53" s="23">
        <v>112</v>
      </c>
      <c r="I53" s="25">
        <v>29.080000000000002</v>
      </c>
      <c r="J53" s="25">
        <f t="shared" si="8"/>
        <v>9.6</v>
      </c>
      <c r="K53" s="25">
        <f t="shared" si="9"/>
        <v>3.6</v>
      </c>
      <c r="L53" s="25">
        <f t="shared" si="10"/>
        <v>13.4</v>
      </c>
      <c r="M53" s="25">
        <f t="shared" si="11"/>
        <v>112</v>
      </c>
    </row>
    <row r="54" spans="1:13" ht="15.75" customHeight="1" x14ac:dyDescent="0.5">
      <c r="A54" s="21">
        <v>53</v>
      </c>
      <c r="B54" s="21">
        <f t="shared" si="5"/>
        <v>2</v>
      </c>
      <c r="C54" s="22">
        <f t="shared" si="0"/>
        <v>45048</v>
      </c>
      <c r="D54" s="23">
        <v>44.28</v>
      </c>
      <c r="E54" s="23">
        <v>41.7</v>
      </c>
      <c r="F54" s="23">
        <v>39.6</v>
      </c>
      <c r="G54" s="24">
        <v>26.65</v>
      </c>
      <c r="H54" s="23">
        <v>235</v>
      </c>
      <c r="I54" s="25">
        <v>44.28</v>
      </c>
      <c r="J54" s="25">
        <f t="shared" si="8"/>
        <v>41.7</v>
      </c>
      <c r="K54" s="25">
        <f t="shared" si="9"/>
        <v>39.6</v>
      </c>
      <c r="L54" s="25">
        <f t="shared" si="10"/>
        <v>26.65</v>
      </c>
      <c r="M54" s="25">
        <f t="shared" si="11"/>
        <v>235</v>
      </c>
    </row>
    <row r="55" spans="1:13" ht="15.75" customHeight="1" x14ac:dyDescent="0.5">
      <c r="A55" s="21">
        <v>54</v>
      </c>
      <c r="B55" s="21">
        <f t="shared" si="5"/>
        <v>3</v>
      </c>
      <c r="C55" s="22">
        <f t="shared" si="0"/>
        <v>45049</v>
      </c>
      <c r="D55" s="23">
        <v>41.519999999999996</v>
      </c>
      <c r="E55" s="23">
        <v>46.2</v>
      </c>
      <c r="F55" s="23">
        <v>58.7</v>
      </c>
      <c r="G55" s="24">
        <v>17.879999999999995</v>
      </c>
      <c r="H55" s="23">
        <v>225</v>
      </c>
      <c r="I55" s="25">
        <v>41.519999999999996</v>
      </c>
      <c r="J55" s="25">
        <f t="shared" si="8"/>
        <v>46.2</v>
      </c>
      <c r="K55" s="25">
        <f t="shared" si="9"/>
        <v>58.7</v>
      </c>
      <c r="L55" s="25">
        <f t="shared" si="10"/>
        <v>17.879999999999995</v>
      </c>
      <c r="M55" s="25">
        <f t="shared" si="11"/>
        <v>225</v>
      </c>
    </row>
    <row r="56" spans="1:13" ht="15.75" customHeight="1" x14ac:dyDescent="0.5">
      <c r="A56" s="21">
        <v>55</v>
      </c>
      <c r="B56" s="21">
        <f t="shared" si="5"/>
        <v>4</v>
      </c>
      <c r="C56" s="22">
        <f t="shared" si="0"/>
        <v>45050</v>
      </c>
      <c r="D56" s="23">
        <v>62.54</v>
      </c>
      <c r="E56" s="23">
        <v>28.8</v>
      </c>
      <c r="F56" s="23">
        <v>15.9</v>
      </c>
      <c r="G56" s="24">
        <v>34.31</v>
      </c>
      <c r="H56" s="23">
        <v>220</v>
      </c>
      <c r="I56" s="25">
        <v>62.54</v>
      </c>
      <c r="J56" s="25">
        <f t="shared" si="8"/>
        <v>28.8</v>
      </c>
      <c r="K56" s="25">
        <f t="shared" si="9"/>
        <v>15.9</v>
      </c>
      <c r="L56" s="25">
        <f t="shared" si="10"/>
        <v>34.31</v>
      </c>
      <c r="M56" s="25">
        <f t="shared" si="11"/>
        <v>220</v>
      </c>
    </row>
    <row r="57" spans="1:13" ht="15.75" customHeight="1" x14ac:dyDescent="0.5">
      <c r="A57" s="21">
        <v>56</v>
      </c>
      <c r="B57" s="21">
        <f t="shared" si="5"/>
        <v>5</v>
      </c>
      <c r="C57" s="22">
        <f t="shared" si="0"/>
        <v>45051</v>
      </c>
      <c r="D57" s="23">
        <v>40.78</v>
      </c>
      <c r="E57" s="23">
        <v>49.4</v>
      </c>
      <c r="F57" s="23">
        <v>60</v>
      </c>
      <c r="G57" s="24">
        <v>20.590000000000003</v>
      </c>
      <c r="H57" s="23">
        <v>240</v>
      </c>
      <c r="I57" s="25">
        <v>40.78</v>
      </c>
      <c r="J57" s="25">
        <f t="shared" si="8"/>
        <v>49.4</v>
      </c>
      <c r="K57" s="25">
        <f t="shared" si="9"/>
        <v>60</v>
      </c>
      <c r="L57" s="25">
        <f t="shared" si="10"/>
        <v>20.590000000000003</v>
      </c>
      <c r="M57" s="25">
        <f t="shared" si="11"/>
        <v>240</v>
      </c>
    </row>
    <row r="58" spans="1:13" ht="15.75" customHeight="1" x14ac:dyDescent="0.5">
      <c r="A58" s="21">
        <v>57</v>
      </c>
      <c r="B58" s="21">
        <f t="shared" si="5"/>
        <v>6</v>
      </c>
      <c r="C58" s="22">
        <f t="shared" si="0"/>
        <v>45052</v>
      </c>
      <c r="D58" s="23">
        <v>3.46</v>
      </c>
      <c r="E58" s="23">
        <v>28.1</v>
      </c>
      <c r="F58" s="23">
        <v>41.4</v>
      </c>
      <c r="G58" s="24">
        <v>18.220000000000002</v>
      </c>
      <c r="H58" s="23">
        <v>71</v>
      </c>
      <c r="I58" s="25">
        <v>3.46</v>
      </c>
      <c r="J58" s="25">
        <f t="shared" si="8"/>
        <v>28.1</v>
      </c>
      <c r="K58" s="25">
        <f t="shared" si="9"/>
        <v>41.4</v>
      </c>
      <c r="L58" s="25">
        <f t="shared" si="10"/>
        <v>18.220000000000002</v>
      </c>
      <c r="M58" s="25">
        <f t="shared" si="11"/>
        <v>71</v>
      </c>
    </row>
    <row r="59" spans="1:13" ht="15.75" customHeight="1" x14ac:dyDescent="0.5">
      <c r="A59" s="21">
        <v>58</v>
      </c>
      <c r="B59" s="21">
        <f t="shared" si="5"/>
        <v>7</v>
      </c>
      <c r="C59" s="22">
        <f t="shared" si="0"/>
        <v>45053</v>
      </c>
      <c r="D59" s="23">
        <v>33.239999999999995</v>
      </c>
      <c r="E59" s="23">
        <v>19.2</v>
      </c>
      <c r="F59" s="23">
        <v>16.600000000000001</v>
      </c>
      <c r="G59" s="24">
        <v>16.579999999999998</v>
      </c>
      <c r="H59" s="23">
        <v>133</v>
      </c>
      <c r="I59" s="25">
        <v>33.239999999999995</v>
      </c>
      <c r="J59" s="25">
        <f t="shared" si="8"/>
        <v>19.2</v>
      </c>
      <c r="K59" s="25">
        <f t="shared" si="9"/>
        <v>16.600000000000001</v>
      </c>
      <c r="L59" s="25">
        <f t="shared" si="10"/>
        <v>16.579999999999998</v>
      </c>
      <c r="M59" s="25">
        <f t="shared" si="11"/>
        <v>133</v>
      </c>
    </row>
    <row r="60" spans="1:13" ht="15.75" customHeight="1" x14ac:dyDescent="0.5">
      <c r="A60" s="21">
        <v>59</v>
      </c>
      <c r="B60" s="21">
        <f t="shared" si="5"/>
        <v>1</v>
      </c>
      <c r="C60" s="22">
        <f t="shared" si="0"/>
        <v>45054</v>
      </c>
      <c r="D60" s="23">
        <v>49.160000000000004</v>
      </c>
      <c r="E60" s="23">
        <v>49.6</v>
      </c>
      <c r="F60" s="23">
        <v>37.700000000000003</v>
      </c>
      <c r="G60" s="24">
        <v>30.8</v>
      </c>
      <c r="H60" s="23">
        <v>239</v>
      </c>
      <c r="I60" s="25">
        <v>49.160000000000004</v>
      </c>
      <c r="J60" s="25">
        <f t="shared" si="8"/>
        <v>49.6</v>
      </c>
      <c r="K60" s="25">
        <f t="shared" si="9"/>
        <v>37.700000000000003</v>
      </c>
      <c r="L60" s="25">
        <f t="shared" si="10"/>
        <v>30.8</v>
      </c>
      <c r="M60" s="25">
        <f t="shared" si="11"/>
        <v>239</v>
      </c>
    </row>
    <row r="61" spans="1:13" ht="15.75" customHeight="1" x14ac:dyDescent="0.5">
      <c r="A61" s="21">
        <v>60</v>
      </c>
      <c r="B61" s="21">
        <f t="shared" si="5"/>
        <v>2</v>
      </c>
      <c r="C61" s="22">
        <f t="shared" si="0"/>
        <v>45055</v>
      </c>
      <c r="D61" s="23">
        <v>50.14</v>
      </c>
      <c r="E61" s="23">
        <v>29.5</v>
      </c>
      <c r="F61" s="23">
        <v>9.3000000000000007</v>
      </c>
      <c r="G61" s="24">
        <v>32.1</v>
      </c>
      <c r="H61" s="23">
        <v>186</v>
      </c>
      <c r="I61" s="25">
        <v>50.14</v>
      </c>
      <c r="J61" s="25">
        <f t="shared" si="8"/>
        <v>29.5</v>
      </c>
      <c r="K61" s="25">
        <f t="shared" si="9"/>
        <v>9.3000000000000007</v>
      </c>
      <c r="L61" s="25">
        <f t="shared" si="10"/>
        <v>32.1</v>
      </c>
      <c r="M61" s="25">
        <f t="shared" si="11"/>
        <v>186</v>
      </c>
    </row>
    <row r="62" spans="1:13" ht="15.75" customHeight="1" x14ac:dyDescent="0.5">
      <c r="A62" s="21">
        <v>61</v>
      </c>
      <c r="B62" s="21">
        <f t="shared" si="5"/>
        <v>3</v>
      </c>
      <c r="C62" s="22">
        <f t="shared" si="0"/>
        <v>45056</v>
      </c>
      <c r="D62" s="23">
        <v>16.7</v>
      </c>
      <c r="E62" s="23">
        <v>2</v>
      </c>
      <c r="F62" s="23">
        <v>21.4</v>
      </c>
      <c r="G62" s="24">
        <v>17.79</v>
      </c>
      <c r="H62" s="23">
        <v>83</v>
      </c>
      <c r="I62" s="25">
        <v>16.7</v>
      </c>
      <c r="J62" s="25">
        <f t="shared" si="8"/>
        <v>2</v>
      </c>
      <c r="K62" s="25">
        <f t="shared" si="9"/>
        <v>21.4</v>
      </c>
      <c r="L62" s="25">
        <f t="shared" si="10"/>
        <v>17.79</v>
      </c>
      <c r="M62" s="25">
        <f t="shared" si="11"/>
        <v>83</v>
      </c>
    </row>
    <row r="63" spans="1:13" ht="15.75" customHeight="1" x14ac:dyDescent="0.5">
      <c r="A63" s="21">
        <v>62</v>
      </c>
      <c r="B63" s="21">
        <f t="shared" si="5"/>
        <v>4</v>
      </c>
      <c r="C63" s="22">
        <f t="shared" si="0"/>
        <v>45057</v>
      </c>
      <c r="D63" s="23">
        <v>61.260000000000005</v>
      </c>
      <c r="E63" s="23">
        <v>42.7</v>
      </c>
      <c r="F63" s="23">
        <v>54.7</v>
      </c>
      <c r="G63" s="24">
        <v>25.6</v>
      </c>
      <c r="H63" s="23">
        <v>240</v>
      </c>
      <c r="I63" s="25">
        <v>61.260000000000005</v>
      </c>
      <c r="J63" s="25">
        <f t="shared" si="8"/>
        <v>42.7</v>
      </c>
      <c r="K63" s="25">
        <f t="shared" si="9"/>
        <v>54.7</v>
      </c>
      <c r="L63" s="25">
        <f t="shared" si="10"/>
        <v>25.6</v>
      </c>
      <c r="M63" s="25">
        <f t="shared" si="11"/>
        <v>240</v>
      </c>
    </row>
    <row r="64" spans="1:13" ht="15.75" customHeight="1" x14ac:dyDescent="0.5">
      <c r="A64" s="21">
        <v>63</v>
      </c>
      <c r="B64" s="21">
        <f t="shared" si="5"/>
        <v>5</v>
      </c>
      <c r="C64" s="22">
        <f t="shared" si="0"/>
        <v>45058</v>
      </c>
      <c r="D64" s="23">
        <v>53.86</v>
      </c>
      <c r="E64" s="23">
        <v>15.5</v>
      </c>
      <c r="F64" s="23">
        <v>27.3</v>
      </c>
      <c r="G64" s="24">
        <v>20.759999999999998</v>
      </c>
      <c r="H64" s="23">
        <v>170</v>
      </c>
      <c r="I64" s="25">
        <v>53.86</v>
      </c>
      <c r="J64" s="25">
        <f t="shared" si="8"/>
        <v>15.5</v>
      </c>
      <c r="K64" s="25">
        <f t="shared" si="9"/>
        <v>27.3</v>
      </c>
      <c r="L64" s="25">
        <f t="shared" si="10"/>
        <v>20.759999999999998</v>
      </c>
      <c r="M64" s="25">
        <f t="shared" si="11"/>
        <v>170</v>
      </c>
    </row>
    <row r="65" spans="1:13" ht="15.75" customHeight="1" x14ac:dyDescent="0.5">
      <c r="A65" s="21">
        <v>64</v>
      </c>
      <c r="B65" s="21">
        <f t="shared" si="5"/>
        <v>6</v>
      </c>
      <c r="C65" s="22">
        <f t="shared" si="0"/>
        <v>45059</v>
      </c>
      <c r="D65" s="23">
        <v>27.54</v>
      </c>
      <c r="E65" s="23">
        <v>29.6</v>
      </c>
      <c r="F65" s="23">
        <v>8.4</v>
      </c>
      <c r="G65" s="24">
        <v>21.71</v>
      </c>
      <c r="H65" s="23">
        <v>298.75</v>
      </c>
      <c r="I65" s="25">
        <v>27.54</v>
      </c>
      <c r="J65" s="25">
        <f t="shared" si="8"/>
        <v>29.6</v>
      </c>
      <c r="K65" s="25">
        <f t="shared" si="9"/>
        <v>8.4</v>
      </c>
      <c r="L65" s="25">
        <f t="shared" si="10"/>
        <v>21.71</v>
      </c>
      <c r="M65" s="25">
        <f t="shared" si="11"/>
        <v>298.75</v>
      </c>
    </row>
    <row r="66" spans="1:13" ht="15.75" customHeight="1" x14ac:dyDescent="0.5">
      <c r="A66" s="21">
        <v>65</v>
      </c>
      <c r="B66" s="21">
        <f t="shared" si="5"/>
        <v>7</v>
      </c>
      <c r="C66" s="22">
        <f t="shared" si="0"/>
        <v>45060</v>
      </c>
      <c r="D66" s="23">
        <v>27.22</v>
      </c>
      <c r="E66" s="23">
        <v>42.8</v>
      </c>
      <c r="F66" s="23">
        <v>28.9</v>
      </c>
      <c r="G66" s="24">
        <v>22.949999999999996</v>
      </c>
      <c r="H66" s="23">
        <v>187</v>
      </c>
      <c r="I66" s="25">
        <v>27.22</v>
      </c>
      <c r="J66" s="25">
        <f t="shared" ref="J66:J97" si="12">IF(ISBLANK(E66),U$19,E66)</f>
        <v>42.8</v>
      </c>
      <c r="K66" s="25">
        <f t="shared" ref="K66:K97" si="13">IF(ISBLANK(F66),U$20,F66)</f>
        <v>28.9</v>
      </c>
      <c r="L66" s="25">
        <f t="shared" ref="L66:L97" si="14">IF(ISBLANK(G66),U$21,G66)</f>
        <v>22.949999999999996</v>
      </c>
      <c r="M66" s="25">
        <f t="shared" ref="M66:M97" si="15">IF(ISBLANK(H66),VLOOKUP(B66,$O$1:$P$9,2,TRUE),H66)</f>
        <v>187</v>
      </c>
    </row>
    <row r="67" spans="1:13" ht="15.75" customHeight="1" x14ac:dyDescent="0.5">
      <c r="A67" s="21">
        <v>66</v>
      </c>
      <c r="B67" s="21">
        <f t="shared" ref="B67:B130" si="16">WEEKDAY(C67,2)</f>
        <v>1</v>
      </c>
      <c r="C67" s="22">
        <f t="shared" si="0"/>
        <v>45061</v>
      </c>
      <c r="D67" s="23">
        <v>21.8</v>
      </c>
      <c r="E67" s="23">
        <v>9.3000000000000007</v>
      </c>
      <c r="F67" s="23">
        <v>0.9</v>
      </c>
      <c r="G67" s="24">
        <v>11.190000000000001</v>
      </c>
      <c r="H67" s="23">
        <v>109</v>
      </c>
      <c r="I67" s="25">
        <v>21.8</v>
      </c>
      <c r="J67" s="25">
        <f t="shared" si="12"/>
        <v>9.3000000000000007</v>
      </c>
      <c r="K67" s="25">
        <f t="shared" si="13"/>
        <v>0.9</v>
      </c>
      <c r="L67" s="25">
        <f t="shared" si="14"/>
        <v>11.190000000000001</v>
      </c>
      <c r="M67" s="25">
        <f t="shared" si="15"/>
        <v>109</v>
      </c>
    </row>
    <row r="68" spans="1:13" ht="15.75" customHeight="1" x14ac:dyDescent="0.5">
      <c r="A68" s="21">
        <v>67</v>
      </c>
      <c r="B68" s="21">
        <f t="shared" si="16"/>
        <v>2</v>
      </c>
      <c r="C68" s="22">
        <f t="shared" si="0"/>
        <v>45062</v>
      </c>
      <c r="D68" s="23">
        <v>15.3</v>
      </c>
      <c r="E68" s="23">
        <v>24.6</v>
      </c>
      <c r="F68" s="23">
        <v>2.2000000000000002</v>
      </c>
      <c r="G68" s="24">
        <v>14.57</v>
      </c>
      <c r="H68" s="23">
        <v>104</v>
      </c>
      <c r="I68" s="25">
        <v>15.3</v>
      </c>
      <c r="J68" s="25">
        <f t="shared" si="12"/>
        <v>24.6</v>
      </c>
      <c r="K68" s="25">
        <f t="shared" si="13"/>
        <v>2.2000000000000002</v>
      </c>
      <c r="L68" s="25">
        <f t="shared" si="14"/>
        <v>14.57</v>
      </c>
      <c r="M68" s="25">
        <f t="shared" si="15"/>
        <v>104</v>
      </c>
    </row>
    <row r="69" spans="1:13" ht="15.75" customHeight="1" x14ac:dyDescent="0.5">
      <c r="A69" s="21">
        <v>68</v>
      </c>
      <c r="B69" s="21">
        <f t="shared" si="16"/>
        <v>3</v>
      </c>
      <c r="C69" s="22">
        <f t="shared" si="0"/>
        <v>45063</v>
      </c>
      <c r="D69" s="23">
        <v>30.860000000000003</v>
      </c>
      <c r="E69" s="23">
        <v>14.5</v>
      </c>
      <c r="F69" s="23">
        <v>10.199999999999999</v>
      </c>
      <c r="G69" s="24">
        <v>17.100000000000001</v>
      </c>
      <c r="H69" s="23">
        <v>135</v>
      </c>
      <c r="I69" s="25">
        <v>30.860000000000003</v>
      </c>
      <c r="J69" s="25">
        <f t="shared" si="12"/>
        <v>14.5</v>
      </c>
      <c r="K69" s="25">
        <f t="shared" si="13"/>
        <v>10.199999999999999</v>
      </c>
      <c r="L69" s="25">
        <f t="shared" si="14"/>
        <v>17.100000000000001</v>
      </c>
      <c r="M69" s="25">
        <f t="shared" si="15"/>
        <v>135</v>
      </c>
    </row>
    <row r="70" spans="1:13" ht="15.75" customHeight="1" x14ac:dyDescent="0.5">
      <c r="A70" s="21">
        <v>69</v>
      </c>
      <c r="B70" s="21">
        <f t="shared" si="16"/>
        <v>4</v>
      </c>
      <c r="C70" s="22">
        <f t="shared" si="0"/>
        <v>45064</v>
      </c>
      <c r="D70" s="23">
        <v>51.480000000000004</v>
      </c>
      <c r="E70" s="23">
        <v>27.5</v>
      </c>
      <c r="F70" s="23">
        <v>11</v>
      </c>
      <c r="G70" s="24">
        <v>33.090000000000003</v>
      </c>
      <c r="H70" s="23">
        <v>196</v>
      </c>
      <c r="I70" s="25">
        <v>51.480000000000004</v>
      </c>
      <c r="J70" s="25">
        <f t="shared" si="12"/>
        <v>27.5</v>
      </c>
      <c r="K70" s="25">
        <f t="shared" si="13"/>
        <v>11</v>
      </c>
      <c r="L70" s="25">
        <f t="shared" si="14"/>
        <v>33.090000000000003</v>
      </c>
      <c r="M70" s="25">
        <f t="shared" si="15"/>
        <v>196</v>
      </c>
    </row>
    <row r="71" spans="1:13" ht="15.75" customHeight="1" x14ac:dyDescent="0.5">
      <c r="A71" s="21">
        <v>70</v>
      </c>
      <c r="B71" s="21">
        <f t="shared" si="16"/>
        <v>5</v>
      </c>
      <c r="C71" s="22">
        <f t="shared" si="0"/>
        <v>45065</v>
      </c>
      <c r="D71" s="23">
        <v>48.36</v>
      </c>
      <c r="E71" s="23">
        <v>43.9</v>
      </c>
      <c r="F71" s="23">
        <v>27.2</v>
      </c>
      <c r="G71" s="24">
        <v>32.749999999999993</v>
      </c>
      <c r="H71" s="23">
        <v>229</v>
      </c>
      <c r="I71" s="25">
        <v>48.36</v>
      </c>
      <c r="J71" s="25">
        <f t="shared" si="12"/>
        <v>43.9</v>
      </c>
      <c r="K71" s="25">
        <f t="shared" si="13"/>
        <v>27.2</v>
      </c>
      <c r="L71" s="25">
        <f t="shared" si="14"/>
        <v>32.749999999999993</v>
      </c>
      <c r="M71" s="25">
        <f t="shared" si="15"/>
        <v>229</v>
      </c>
    </row>
    <row r="72" spans="1:13" ht="15.75" customHeight="1" x14ac:dyDescent="0.5">
      <c r="A72" s="21">
        <v>71</v>
      </c>
      <c r="B72" s="21">
        <f t="shared" si="16"/>
        <v>6</v>
      </c>
      <c r="C72" s="22">
        <f t="shared" si="0"/>
        <v>45066</v>
      </c>
      <c r="D72" s="23">
        <v>44.82</v>
      </c>
      <c r="E72" s="23">
        <v>30.6</v>
      </c>
      <c r="F72" s="23">
        <v>38.700000000000003</v>
      </c>
      <c r="G72" s="24">
        <v>19.729999999999997</v>
      </c>
      <c r="H72" s="23">
        <v>196</v>
      </c>
      <c r="I72" s="25">
        <v>44.82</v>
      </c>
      <c r="J72" s="25">
        <f t="shared" si="12"/>
        <v>30.6</v>
      </c>
      <c r="K72" s="25">
        <f t="shared" si="13"/>
        <v>38.700000000000003</v>
      </c>
      <c r="L72" s="25">
        <f t="shared" si="14"/>
        <v>19.729999999999997</v>
      </c>
      <c r="M72" s="25">
        <f t="shared" si="15"/>
        <v>196</v>
      </c>
    </row>
    <row r="73" spans="1:13" ht="15.75" customHeight="1" x14ac:dyDescent="0.5">
      <c r="A73" s="21">
        <v>72</v>
      </c>
      <c r="B73" s="21">
        <f t="shared" si="16"/>
        <v>7</v>
      </c>
      <c r="C73" s="22">
        <f t="shared" si="0"/>
        <v>45067</v>
      </c>
      <c r="D73" s="23">
        <v>29.96</v>
      </c>
      <c r="E73" s="23">
        <v>14.3</v>
      </c>
      <c r="F73" s="23">
        <v>31.7</v>
      </c>
      <c r="G73" s="24">
        <v>5.4500000000000028</v>
      </c>
      <c r="H73" s="23">
        <v>129</v>
      </c>
      <c r="I73" s="25">
        <v>29.96</v>
      </c>
      <c r="J73" s="25">
        <f t="shared" si="12"/>
        <v>14.3</v>
      </c>
      <c r="K73" s="25">
        <f t="shared" si="13"/>
        <v>31.7</v>
      </c>
      <c r="L73" s="25">
        <f t="shared" si="14"/>
        <v>5.4500000000000028</v>
      </c>
      <c r="M73" s="25">
        <f t="shared" si="15"/>
        <v>129</v>
      </c>
    </row>
    <row r="74" spans="1:13" ht="15.75" customHeight="1" x14ac:dyDescent="0.5">
      <c r="A74" s="21">
        <v>73</v>
      </c>
      <c r="B74" s="21">
        <f t="shared" si="16"/>
        <v>1</v>
      </c>
      <c r="C74" s="22">
        <f t="shared" si="0"/>
        <v>45068</v>
      </c>
      <c r="D74" s="23">
        <v>15.36</v>
      </c>
      <c r="E74" s="23">
        <v>33</v>
      </c>
      <c r="F74" s="23">
        <v>19.3</v>
      </c>
      <c r="G74" s="24">
        <v>11.459999999999999</v>
      </c>
      <c r="H74" s="23">
        <v>106</v>
      </c>
      <c r="I74" s="25">
        <v>15.36</v>
      </c>
      <c r="J74" s="25">
        <f t="shared" si="12"/>
        <v>33</v>
      </c>
      <c r="K74" s="25">
        <f t="shared" si="13"/>
        <v>19.3</v>
      </c>
      <c r="L74" s="25">
        <f t="shared" si="14"/>
        <v>11.459999999999999</v>
      </c>
      <c r="M74" s="25">
        <f t="shared" si="15"/>
        <v>106</v>
      </c>
    </row>
    <row r="75" spans="1:13" ht="15.75" customHeight="1" x14ac:dyDescent="0.5">
      <c r="A75" s="21">
        <v>74</v>
      </c>
      <c r="B75" s="21">
        <f t="shared" si="16"/>
        <v>2</v>
      </c>
      <c r="C75" s="22">
        <f t="shared" si="0"/>
        <v>45069</v>
      </c>
      <c r="D75" s="23">
        <v>28.880000000000003</v>
      </c>
      <c r="E75" s="23">
        <v>5.7</v>
      </c>
      <c r="F75" s="23">
        <v>31.3</v>
      </c>
      <c r="G75" s="24">
        <v>3.2699999999999996</v>
      </c>
      <c r="H75" s="23">
        <v>117</v>
      </c>
      <c r="I75" s="25">
        <v>28.880000000000003</v>
      </c>
      <c r="J75" s="25">
        <f t="shared" si="12"/>
        <v>5.7</v>
      </c>
      <c r="K75" s="25">
        <f t="shared" si="13"/>
        <v>31.3</v>
      </c>
      <c r="L75" s="25">
        <f t="shared" si="14"/>
        <v>3.2699999999999996</v>
      </c>
      <c r="M75" s="25">
        <f t="shared" si="15"/>
        <v>117</v>
      </c>
    </row>
    <row r="76" spans="1:13" ht="15.75" customHeight="1" x14ac:dyDescent="0.5">
      <c r="A76" s="21">
        <v>75</v>
      </c>
      <c r="B76" s="21">
        <f t="shared" si="16"/>
        <v>3</v>
      </c>
      <c r="C76" s="22">
        <f t="shared" si="0"/>
        <v>45070</v>
      </c>
      <c r="D76" s="23">
        <v>50.68</v>
      </c>
      <c r="E76" s="23">
        <v>0</v>
      </c>
      <c r="F76" s="23">
        <v>13.1</v>
      </c>
      <c r="G76" s="24">
        <v>28.4</v>
      </c>
      <c r="H76" s="23">
        <v>187</v>
      </c>
      <c r="I76" s="25">
        <v>50.68</v>
      </c>
      <c r="J76" s="25">
        <f t="shared" si="12"/>
        <v>0</v>
      </c>
      <c r="K76" s="25">
        <f t="shared" si="13"/>
        <v>13.1</v>
      </c>
      <c r="L76" s="25">
        <f t="shared" si="14"/>
        <v>28.4</v>
      </c>
      <c r="M76" s="25">
        <f t="shared" si="15"/>
        <v>187</v>
      </c>
    </row>
    <row r="77" spans="1:13" ht="15.75" customHeight="1" x14ac:dyDescent="0.5">
      <c r="A77" s="21">
        <v>76</v>
      </c>
      <c r="B77" s="21">
        <f t="shared" si="16"/>
        <v>4</v>
      </c>
      <c r="C77" s="22">
        <f t="shared" si="0"/>
        <v>45071</v>
      </c>
      <c r="D77" s="23">
        <v>12.379999999999999</v>
      </c>
      <c r="E77" s="23">
        <v>43.7</v>
      </c>
      <c r="F77" s="23">
        <v>89.4</v>
      </c>
      <c r="G77" s="24">
        <v>7.7799999999999976</v>
      </c>
      <c r="H77" s="23">
        <v>105</v>
      </c>
      <c r="I77" s="25">
        <v>12.379999999999999</v>
      </c>
      <c r="J77" s="25">
        <f t="shared" si="12"/>
        <v>43.7</v>
      </c>
      <c r="K77" s="25">
        <f t="shared" si="13"/>
        <v>89.4</v>
      </c>
      <c r="L77" s="25">
        <f t="shared" si="14"/>
        <v>7.7799999999999976</v>
      </c>
      <c r="M77" s="25">
        <f t="shared" si="15"/>
        <v>105</v>
      </c>
    </row>
    <row r="78" spans="1:13" ht="15.75" customHeight="1" x14ac:dyDescent="0.5">
      <c r="A78" s="21">
        <v>77</v>
      </c>
      <c r="B78" s="21">
        <f t="shared" si="16"/>
        <v>5</v>
      </c>
      <c r="C78" s="22">
        <f t="shared" si="0"/>
        <v>45072</v>
      </c>
      <c r="D78" s="23">
        <v>13.5</v>
      </c>
      <c r="E78" s="23">
        <v>1.6</v>
      </c>
      <c r="F78" s="23">
        <v>20.7</v>
      </c>
      <c r="G78" s="24">
        <v>15.27</v>
      </c>
      <c r="H78" s="23">
        <v>83</v>
      </c>
      <c r="I78" s="25">
        <v>13.5</v>
      </c>
      <c r="J78" s="25">
        <f t="shared" si="12"/>
        <v>1.6</v>
      </c>
      <c r="K78" s="25">
        <f t="shared" si="13"/>
        <v>20.7</v>
      </c>
      <c r="L78" s="25">
        <f t="shared" si="14"/>
        <v>15.27</v>
      </c>
      <c r="M78" s="25">
        <f t="shared" si="15"/>
        <v>83</v>
      </c>
    </row>
    <row r="79" spans="1:13" ht="15.75" customHeight="1" x14ac:dyDescent="0.5">
      <c r="A79" s="21">
        <v>78</v>
      </c>
      <c r="B79" s="21">
        <f t="shared" si="16"/>
        <v>6</v>
      </c>
      <c r="C79" s="22">
        <f t="shared" si="0"/>
        <v>45073</v>
      </c>
      <c r="D79" s="23">
        <v>25.1</v>
      </c>
      <c r="E79" s="23">
        <v>28.5</v>
      </c>
      <c r="F79" s="23">
        <v>14.2</v>
      </c>
      <c r="G79" s="24">
        <v>20.62</v>
      </c>
      <c r="H79" s="23">
        <v>149</v>
      </c>
      <c r="I79" s="25">
        <v>25.1</v>
      </c>
      <c r="J79" s="25">
        <f t="shared" si="12"/>
        <v>28.5</v>
      </c>
      <c r="K79" s="25">
        <f t="shared" si="13"/>
        <v>14.2</v>
      </c>
      <c r="L79" s="25">
        <f t="shared" si="14"/>
        <v>20.62</v>
      </c>
      <c r="M79" s="25">
        <f t="shared" si="15"/>
        <v>149</v>
      </c>
    </row>
    <row r="80" spans="1:13" ht="15.75" customHeight="1" x14ac:dyDescent="0.5">
      <c r="A80" s="21">
        <v>79</v>
      </c>
      <c r="B80" s="21">
        <f t="shared" si="16"/>
        <v>7</v>
      </c>
      <c r="C80" s="22">
        <f t="shared" si="0"/>
        <v>45074</v>
      </c>
      <c r="D80" s="23">
        <v>8.08</v>
      </c>
      <c r="E80" s="23">
        <v>29.9</v>
      </c>
      <c r="F80" s="23">
        <v>9.4</v>
      </c>
      <c r="G80" s="24">
        <v>11.729999999999999</v>
      </c>
      <c r="H80" s="23">
        <v>62</v>
      </c>
      <c r="I80" s="25">
        <v>8.08</v>
      </c>
      <c r="J80" s="25">
        <f t="shared" si="12"/>
        <v>29.9</v>
      </c>
      <c r="K80" s="25">
        <f t="shared" si="13"/>
        <v>9.4</v>
      </c>
      <c r="L80" s="25">
        <f t="shared" si="14"/>
        <v>11.729999999999999</v>
      </c>
      <c r="M80" s="25">
        <f t="shared" si="15"/>
        <v>62</v>
      </c>
    </row>
    <row r="81" spans="1:13" ht="15.75" customHeight="1" x14ac:dyDescent="0.5">
      <c r="A81" s="21">
        <v>80</v>
      </c>
      <c r="B81" s="21">
        <f t="shared" si="16"/>
        <v>1</v>
      </c>
      <c r="C81" s="22">
        <f t="shared" si="0"/>
        <v>45075</v>
      </c>
      <c r="D81" s="23">
        <v>31.2</v>
      </c>
      <c r="E81" s="23">
        <v>7.7</v>
      </c>
      <c r="F81" s="23">
        <v>23.1</v>
      </c>
      <c r="G81" s="24">
        <v>6.2099999999999991</v>
      </c>
      <c r="H81" s="23">
        <v>120</v>
      </c>
      <c r="I81" s="25">
        <v>31.2</v>
      </c>
      <c r="J81" s="25">
        <f t="shared" si="12"/>
        <v>7.7</v>
      </c>
      <c r="K81" s="25">
        <f t="shared" si="13"/>
        <v>23.1</v>
      </c>
      <c r="L81" s="25">
        <f t="shared" si="14"/>
        <v>6.2099999999999991</v>
      </c>
      <c r="M81" s="25">
        <f t="shared" si="15"/>
        <v>120</v>
      </c>
    </row>
    <row r="82" spans="1:13" ht="15.75" customHeight="1" x14ac:dyDescent="0.5">
      <c r="A82" s="21">
        <v>81</v>
      </c>
      <c r="B82" s="21">
        <f t="shared" si="16"/>
        <v>2</v>
      </c>
      <c r="C82" s="22">
        <f t="shared" si="0"/>
        <v>45076</v>
      </c>
      <c r="D82" s="23">
        <v>19.28</v>
      </c>
      <c r="E82" s="23">
        <v>26.7</v>
      </c>
      <c r="F82" s="23">
        <v>22.3</v>
      </c>
      <c r="G82" s="24">
        <v>12.070000000000002</v>
      </c>
      <c r="H82" s="23">
        <v>120</v>
      </c>
      <c r="I82" s="25">
        <v>19.28</v>
      </c>
      <c r="J82" s="25">
        <f t="shared" si="12"/>
        <v>26.7</v>
      </c>
      <c r="K82" s="25">
        <f t="shared" si="13"/>
        <v>22.3</v>
      </c>
      <c r="L82" s="25">
        <f t="shared" si="14"/>
        <v>12.070000000000002</v>
      </c>
      <c r="M82" s="25">
        <f t="shared" si="15"/>
        <v>120</v>
      </c>
    </row>
    <row r="83" spans="1:13" ht="15.75" customHeight="1" x14ac:dyDescent="0.5">
      <c r="A83" s="21">
        <v>82</v>
      </c>
      <c r="B83" s="21">
        <f t="shared" si="16"/>
        <v>3</v>
      </c>
      <c r="C83" s="22">
        <f t="shared" si="0"/>
        <v>45077</v>
      </c>
      <c r="D83" s="23">
        <v>151.96</v>
      </c>
      <c r="E83" s="23">
        <v>4.0999999999999996</v>
      </c>
      <c r="F83" s="23">
        <v>36.9</v>
      </c>
      <c r="G83" s="24">
        <v>11.270000000000001</v>
      </c>
      <c r="H83" s="23">
        <v>128</v>
      </c>
      <c r="I83" s="25">
        <v>151.96</v>
      </c>
      <c r="J83" s="25">
        <f t="shared" si="12"/>
        <v>4.0999999999999996</v>
      </c>
      <c r="K83" s="25">
        <f t="shared" si="13"/>
        <v>36.9</v>
      </c>
      <c r="L83" s="25">
        <f t="shared" si="14"/>
        <v>11.270000000000001</v>
      </c>
      <c r="M83" s="25">
        <f t="shared" si="15"/>
        <v>128</v>
      </c>
    </row>
    <row r="84" spans="1:13" ht="15.75" customHeight="1" x14ac:dyDescent="0.5">
      <c r="A84" s="21">
        <v>83</v>
      </c>
      <c r="B84" s="21">
        <f t="shared" si="16"/>
        <v>4</v>
      </c>
      <c r="C84" s="22">
        <f t="shared" si="0"/>
        <v>45078</v>
      </c>
      <c r="D84" s="23">
        <v>18.059999999999999</v>
      </c>
      <c r="E84" s="23">
        <v>20.3</v>
      </c>
      <c r="F84" s="23">
        <v>32.5</v>
      </c>
      <c r="G84" s="24">
        <v>4.68</v>
      </c>
      <c r="H84" s="23">
        <v>128</v>
      </c>
      <c r="I84" s="25">
        <v>18.059999999999999</v>
      </c>
      <c r="J84" s="25">
        <f t="shared" si="12"/>
        <v>20.3</v>
      </c>
      <c r="K84" s="25">
        <f t="shared" si="13"/>
        <v>32.5</v>
      </c>
      <c r="L84" s="25">
        <f t="shared" si="14"/>
        <v>4.68</v>
      </c>
      <c r="M84" s="25">
        <f t="shared" si="15"/>
        <v>128</v>
      </c>
    </row>
    <row r="85" spans="1:13" ht="15.75" customHeight="1" x14ac:dyDescent="0.5">
      <c r="A85" s="21">
        <v>84</v>
      </c>
      <c r="B85" s="21">
        <f t="shared" si="16"/>
        <v>5</v>
      </c>
      <c r="C85" s="22">
        <f t="shared" si="0"/>
        <v>45079</v>
      </c>
      <c r="D85" s="23">
        <v>22.68</v>
      </c>
      <c r="E85" s="23">
        <v>44.5</v>
      </c>
      <c r="F85" s="23">
        <v>35.6</v>
      </c>
      <c r="G85" s="24">
        <v>14.849999999999998</v>
      </c>
      <c r="H85" s="23">
        <v>149</v>
      </c>
      <c r="I85" s="25">
        <v>22.68</v>
      </c>
      <c r="J85" s="25">
        <f t="shared" si="12"/>
        <v>44.5</v>
      </c>
      <c r="K85" s="25">
        <f t="shared" si="13"/>
        <v>35.6</v>
      </c>
      <c r="L85" s="25">
        <f t="shared" si="14"/>
        <v>14.849999999999998</v>
      </c>
      <c r="M85" s="25">
        <f t="shared" si="15"/>
        <v>149</v>
      </c>
    </row>
    <row r="86" spans="1:13" ht="15.75" customHeight="1" x14ac:dyDescent="0.5">
      <c r="A86" s="21">
        <v>85</v>
      </c>
      <c r="B86" s="21">
        <f t="shared" si="16"/>
        <v>6</v>
      </c>
      <c r="C86" s="22">
        <f t="shared" si="0"/>
        <v>45080</v>
      </c>
      <c r="D86" s="23">
        <v>45.7</v>
      </c>
      <c r="E86" s="23">
        <v>43</v>
      </c>
      <c r="F86" s="23">
        <v>33.799999999999997</v>
      </c>
      <c r="G86" s="24">
        <v>29.330000000000002</v>
      </c>
      <c r="H86" s="23">
        <v>223</v>
      </c>
      <c r="I86" s="25">
        <v>45.7</v>
      </c>
      <c r="J86" s="25">
        <f t="shared" si="12"/>
        <v>43</v>
      </c>
      <c r="K86" s="25">
        <f t="shared" si="13"/>
        <v>33.799999999999997</v>
      </c>
      <c r="L86" s="25">
        <f t="shared" si="14"/>
        <v>29.330000000000002</v>
      </c>
      <c r="M86" s="25">
        <f t="shared" si="15"/>
        <v>223</v>
      </c>
    </row>
    <row r="87" spans="1:13" ht="15.75" customHeight="1" x14ac:dyDescent="0.5">
      <c r="A87" s="21">
        <v>86</v>
      </c>
      <c r="B87" s="21">
        <f t="shared" si="16"/>
        <v>7</v>
      </c>
      <c r="C87" s="22">
        <f t="shared" si="0"/>
        <v>45081</v>
      </c>
      <c r="D87" s="23">
        <v>42.64</v>
      </c>
      <c r="E87" s="23">
        <v>18.399999999999999</v>
      </c>
      <c r="F87" s="23">
        <v>65.7</v>
      </c>
      <c r="G87" s="24">
        <v>2.2399999999999984</v>
      </c>
      <c r="H87" s="23">
        <v>159</v>
      </c>
      <c r="I87" s="25">
        <v>42.64</v>
      </c>
      <c r="J87" s="25">
        <f t="shared" si="12"/>
        <v>18.399999999999999</v>
      </c>
      <c r="K87" s="25">
        <f t="shared" si="13"/>
        <v>65.7</v>
      </c>
      <c r="L87" s="25">
        <f t="shared" si="14"/>
        <v>2.2399999999999984</v>
      </c>
      <c r="M87" s="25">
        <f t="shared" si="15"/>
        <v>159</v>
      </c>
    </row>
    <row r="88" spans="1:13" ht="15.75" customHeight="1" x14ac:dyDescent="0.5">
      <c r="A88" s="21">
        <v>87</v>
      </c>
      <c r="B88" s="21">
        <f t="shared" si="16"/>
        <v>1</v>
      </c>
      <c r="C88" s="22">
        <f t="shared" si="0"/>
        <v>45082</v>
      </c>
      <c r="D88" s="23">
        <v>21.259999999999998</v>
      </c>
      <c r="E88" s="23">
        <v>27.5</v>
      </c>
      <c r="F88" s="23">
        <v>16</v>
      </c>
      <c r="G88" s="24">
        <v>14.979999999999999</v>
      </c>
      <c r="H88" s="23">
        <v>122</v>
      </c>
      <c r="I88" s="25">
        <v>21.259999999999998</v>
      </c>
      <c r="J88" s="25">
        <f t="shared" si="12"/>
        <v>27.5</v>
      </c>
      <c r="K88" s="25">
        <f t="shared" si="13"/>
        <v>16</v>
      </c>
      <c r="L88" s="25">
        <f t="shared" si="14"/>
        <v>14.979999999999999</v>
      </c>
      <c r="M88" s="25">
        <f t="shared" si="15"/>
        <v>122</v>
      </c>
    </row>
    <row r="89" spans="1:13" ht="15.75" customHeight="1" x14ac:dyDescent="0.5">
      <c r="A89" s="21">
        <v>88</v>
      </c>
      <c r="B89" s="21">
        <f t="shared" si="16"/>
        <v>2</v>
      </c>
      <c r="C89" s="22">
        <f t="shared" si="0"/>
        <v>45083</v>
      </c>
      <c r="D89" s="23">
        <v>28.14</v>
      </c>
      <c r="E89" s="23">
        <v>40.6</v>
      </c>
      <c r="F89" s="23">
        <v>63.2</v>
      </c>
      <c r="G89" s="24">
        <v>6.09</v>
      </c>
      <c r="H89" s="23">
        <v>180</v>
      </c>
      <c r="I89" s="25">
        <v>28.14</v>
      </c>
      <c r="J89" s="25">
        <f t="shared" si="12"/>
        <v>40.6</v>
      </c>
      <c r="K89" s="25">
        <f t="shared" si="13"/>
        <v>63.2</v>
      </c>
      <c r="L89" s="25">
        <f t="shared" si="14"/>
        <v>6.09</v>
      </c>
      <c r="M89" s="25">
        <f t="shared" si="15"/>
        <v>180</v>
      </c>
    </row>
    <row r="90" spans="1:13" ht="15.75" customHeight="1" x14ac:dyDescent="0.5">
      <c r="A90" s="21">
        <v>89</v>
      </c>
      <c r="B90" s="21">
        <f t="shared" si="16"/>
        <v>3</v>
      </c>
      <c r="C90" s="22">
        <f t="shared" si="0"/>
        <v>45084</v>
      </c>
      <c r="D90" s="23">
        <v>27.66</v>
      </c>
      <c r="E90" s="23">
        <v>225.5</v>
      </c>
      <c r="F90" s="23">
        <v>73.400000000000006</v>
      </c>
      <c r="G90" s="24">
        <v>12.219999999999995</v>
      </c>
      <c r="H90" s="23">
        <v>147</v>
      </c>
      <c r="I90" s="25">
        <v>27.66</v>
      </c>
      <c r="J90" s="25">
        <f t="shared" si="12"/>
        <v>225.5</v>
      </c>
      <c r="K90" s="25">
        <f t="shared" si="13"/>
        <v>73.400000000000006</v>
      </c>
      <c r="L90" s="25">
        <f t="shared" si="14"/>
        <v>12.219999999999995</v>
      </c>
      <c r="M90" s="25">
        <f t="shared" si="15"/>
        <v>147</v>
      </c>
    </row>
    <row r="91" spans="1:13" ht="15.75" customHeight="1" x14ac:dyDescent="0.5">
      <c r="A91" s="21">
        <v>90</v>
      </c>
      <c r="B91" s="21">
        <f t="shared" si="16"/>
        <v>4</v>
      </c>
      <c r="C91" s="22">
        <f t="shared" si="0"/>
        <v>45085</v>
      </c>
      <c r="D91" s="23">
        <v>23.96</v>
      </c>
      <c r="E91" s="23">
        <v>47.8</v>
      </c>
      <c r="F91" s="23">
        <v>51.4</v>
      </c>
      <c r="G91" s="24">
        <v>14.319999999999993</v>
      </c>
      <c r="H91" s="23">
        <v>177</v>
      </c>
      <c r="I91" s="25">
        <v>23.96</v>
      </c>
      <c r="J91" s="25">
        <f t="shared" si="12"/>
        <v>47.8</v>
      </c>
      <c r="K91" s="25">
        <f t="shared" si="13"/>
        <v>51.4</v>
      </c>
      <c r="L91" s="25">
        <f t="shared" si="14"/>
        <v>14.319999999999993</v>
      </c>
      <c r="M91" s="25">
        <f t="shared" si="15"/>
        <v>177</v>
      </c>
    </row>
    <row r="92" spans="1:13" ht="15.75" customHeight="1" x14ac:dyDescent="0.5">
      <c r="A92" s="21">
        <v>91</v>
      </c>
      <c r="B92" s="21">
        <f t="shared" si="16"/>
        <v>5</v>
      </c>
      <c r="C92" s="22">
        <f t="shared" si="0"/>
        <v>45086</v>
      </c>
      <c r="D92" s="23">
        <v>31.860000000000003</v>
      </c>
      <c r="E92" s="23">
        <v>4.9000000000000004</v>
      </c>
      <c r="F92" s="23">
        <v>9.3000000000000007</v>
      </c>
      <c r="G92" s="24">
        <v>12.160000000000002</v>
      </c>
      <c r="H92" s="23">
        <v>93</v>
      </c>
      <c r="I92" s="25">
        <v>31.860000000000003</v>
      </c>
      <c r="J92" s="25">
        <f t="shared" si="12"/>
        <v>4.9000000000000004</v>
      </c>
      <c r="K92" s="25">
        <f t="shared" si="13"/>
        <v>9.3000000000000007</v>
      </c>
      <c r="L92" s="25">
        <f t="shared" si="14"/>
        <v>12.160000000000002</v>
      </c>
      <c r="M92" s="25">
        <f t="shared" si="15"/>
        <v>93</v>
      </c>
    </row>
    <row r="93" spans="1:13" ht="15.75" customHeight="1" x14ac:dyDescent="0.5">
      <c r="A93" s="21">
        <v>92</v>
      </c>
      <c r="B93" s="21">
        <f t="shared" si="16"/>
        <v>6</v>
      </c>
      <c r="C93" s="22">
        <f t="shared" si="0"/>
        <v>45087</v>
      </c>
      <c r="D93" s="23">
        <v>14.72</v>
      </c>
      <c r="E93" s="23">
        <v>1.5</v>
      </c>
      <c r="F93" s="23">
        <v>33</v>
      </c>
      <c r="G93" s="24">
        <v>10.41</v>
      </c>
      <c r="H93" s="23">
        <v>74</v>
      </c>
      <c r="I93" s="25">
        <v>14.72</v>
      </c>
      <c r="J93" s="25">
        <f t="shared" si="12"/>
        <v>1.5</v>
      </c>
      <c r="K93" s="25">
        <f t="shared" si="13"/>
        <v>33</v>
      </c>
      <c r="L93" s="25">
        <f t="shared" si="14"/>
        <v>10.41</v>
      </c>
      <c r="M93" s="25">
        <f t="shared" si="15"/>
        <v>74</v>
      </c>
    </row>
    <row r="94" spans="1:13" ht="15.75" customHeight="1" x14ac:dyDescent="0.5">
      <c r="A94" s="21">
        <v>93</v>
      </c>
      <c r="B94" s="21">
        <f t="shared" si="16"/>
        <v>7</v>
      </c>
      <c r="C94" s="22">
        <f t="shared" si="0"/>
        <v>45088</v>
      </c>
      <c r="D94" s="23">
        <v>47.54</v>
      </c>
      <c r="E94" s="23">
        <v>33.5</v>
      </c>
      <c r="F94" s="23">
        <v>59</v>
      </c>
      <c r="G94" s="24">
        <v>14.919999999999995</v>
      </c>
      <c r="H94" s="23">
        <v>811</v>
      </c>
      <c r="I94" s="25">
        <v>47.54</v>
      </c>
      <c r="J94" s="25">
        <f t="shared" si="12"/>
        <v>33.5</v>
      </c>
      <c r="K94" s="25">
        <f t="shared" si="13"/>
        <v>59</v>
      </c>
      <c r="L94" s="25">
        <f t="shared" si="14"/>
        <v>14.919999999999995</v>
      </c>
      <c r="M94" s="25">
        <f t="shared" si="15"/>
        <v>811</v>
      </c>
    </row>
    <row r="95" spans="1:13" ht="15.75" customHeight="1" x14ac:dyDescent="0.5">
      <c r="A95" s="21">
        <v>94</v>
      </c>
      <c r="B95" s="21">
        <f t="shared" si="16"/>
        <v>1</v>
      </c>
      <c r="C95" s="22">
        <f t="shared" si="0"/>
        <v>45089</v>
      </c>
      <c r="D95" s="23">
        <v>56.18</v>
      </c>
      <c r="E95" s="23">
        <v>36.5</v>
      </c>
      <c r="F95" s="23">
        <v>72.3</v>
      </c>
      <c r="G95" s="24">
        <v>14.420000000000002</v>
      </c>
      <c r="H95" s="23">
        <v>225</v>
      </c>
      <c r="I95" s="25">
        <v>56.18</v>
      </c>
      <c r="J95" s="25">
        <f t="shared" si="12"/>
        <v>36.5</v>
      </c>
      <c r="K95" s="25">
        <f t="shared" si="13"/>
        <v>72.3</v>
      </c>
      <c r="L95" s="25">
        <f t="shared" si="14"/>
        <v>14.420000000000002</v>
      </c>
      <c r="M95" s="25">
        <f t="shared" si="15"/>
        <v>225</v>
      </c>
    </row>
    <row r="96" spans="1:13" ht="15.75" customHeight="1" x14ac:dyDescent="0.5">
      <c r="A96" s="21">
        <v>95</v>
      </c>
      <c r="B96" s="21">
        <f t="shared" si="16"/>
        <v>2</v>
      </c>
      <c r="C96" s="22">
        <f t="shared" si="0"/>
        <v>45090</v>
      </c>
      <c r="D96" s="23">
        <v>30.48</v>
      </c>
      <c r="E96" s="23">
        <v>14</v>
      </c>
      <c r="F96" s="23">
        <v>10.9</v>
      </c>
      <c r="G96" s="24">
        <v>13.380000000000003</v>
      </c>
      <c r="H96" s="23">
        <v>117</v>
      </c>
      <c r="I96" s="25">
        <v>30.48</v>
      </c>
      <c r="J96" s="25">
        <f t="shared" si="12"/>
        <v>14</v>
      </c>
      <c r="K96" s="25">
        <f t="shared" si="13"/>
        <v>10.9</v>
      </c>
      <c r="L96" s="25">
        <f t="shared" si="14"/>
        <v>13.380000000000003</v>
      </c>
      <c r="M96" s="25">
        <f t="shared" si="15"/>
        <v>117</v>
      </c>
    </row>
    <row r="97" spans="1:13" ht="15.75" customHeight="1" x14ac:dyDescent="0.5">
      <c r="A97" s="21">
        <v>96</v>
      </c>
      <c r="B97" s="21">
        <f t="shared" si="16"/>
        <v>3</v>
      </c>
      <c r="C97" s="22">
        <f t="shared" si="0"/>
        <v>45091</v>
      </c>
      <c r="D97" s="23">
        <v>40.660000000000004</v>
      </c>
      <c r="E97" s="23">
        <v>31.6</v>
      </c>
      <c r="F97" s="23">
        <v>52.9</v>
      </c>
      <c r="G97" s="24">
        <v>10.970000000000002</v>
      </c>
      <c r="H97" s="23">
        <v>175</v>
      </c>
      <c r="I97" s="25">
        <v>40.660000000000004</v>
      </c>
      <c r="J97" s="25">
        <f t="shared" si="12"/>
        <v>31.6</v>
      </c>
      <c r="K97" s="25">
        <f t="shared" si="13"/>
        <v>52.9</v>
      </c>
      <c r="L97" s="25">
        <f t="shared" si="14"/>
        <v>10.970000000000002</v>
      </c>
      <c r="M97" s="25">
        <f t="shared" si="15"/>
        <v>175</v>
      </c>
    </row>
    <row r="98" spans="1:13" ht="15.75" customHeight="1" x14ac:dyDescent="0.5">
      <c r="A98" s="21">
        <v>97</v>
      </c>
      <c r="B98" s="21">
        <f t="shared" si="16"/>
        <v>4</v>
      </c>
      <c r="C98" s="22">
        <f t="shared" si="0"/>
        <v>45092</v>
      </c>
      <c r="D98" s="23">
        <v>46.519999999999996</v>
      </c>
      <c r="E98" s="23">
        <v>3.5</v>
      </c>
      <c r="F98" s="23">
        <v>5.9</v>
      </c>
      <c r="G98" s="24">
        <v>19.149999999999999</v>
      </c>
      <c r="H98" s="23">
        <v>132</v>
      </c>
      <c r="I98" s="25">
        <v>46.519999999999996</v>
      </c>
      <c r="J98" s="25">
        <f t="shared" ref="J98:J129" si="17">IF(ISBLANK(E98),U$19,E98)</f>
        <v>3.5</v>
      </c>
      <c r="K98" s="25">
        <f t="shared" ref="K98:K129" si="18">IF(ISBLANK(F98),U$20,F98)</f>
        <v>5.9</v>
      </c>
      <c r="L98" s="25">
        <f t="shared" ref="L98:L129" si="19">IF(ISBLANK(G98),U$21,G98)</f>
        <v>19.149999999999999</v>
      </c>
      <c r="M98" s="25">
        <f t="shared" ref="M98:M129" si="20">IF(ISBLANK(H98),VLOOKUP(B98,$O$1:$P$9,2,TRUE),H98)</f>
        <v>132</v>
      </c>
    </row>
    <row r="99" spans="1:13" ht="15.75" customHeight="1" x14ac:dyDescent="0.5">
      <c r="A99" s="21">
        <v>98</v>
      </c>
      <c r="B99" s="21">
        <f t="shared" si="16"/>
        <v>5</v>
      </c>
      <c r="C99" s="22">
        <f t="shared" si="0"/>
        <v>45093</v>
      </c>
      <c r="D99" s="23">
        <v>41.980000000000004</v>
      </c>
      <c r="E99" s="23">
        <v>21</v>
      </c>
      <c r="F99" s="23">
        <v>22</v>
      </c>
      <c r="G99" s="24">
        <v>20.190000000000001</v>
      </c>
      <c r="H99" s="23">
        <v>168</v>
      </c>
      <c r="I99" s="25">
        <v>41.980000000000004</v>
      </c>
      <c r="J99" s="25">
        <f t="shared" si="17"/>
        <v>21</v>
      </c>
      <c r="K99" s="25">
        <f t="shared" si="18"/>
        <v>22</v>
      </c>
      <c r="L99" s="25">
        <f t="shared" si="19"/>
        <v>20.190000000000001</v>
      </c>
      <c r="M99" s="25">
        <f t="shared" si="20"/>
        <v>168</v>
      </c>
    </row>
    <row r="100" spans="1:13" ht="15.75" customHeight="1" x14ac:dyDescent="0.5">
      <c r="A100" s="21">
        <v>99</v>
      </c>
      <c r="B100" s="21">
        <f t="shared" si="16"/>
        <v>6</v>
      </c>
      <c r="C100" s="22">
        <f t="shared" si="0"/>
        <v>45094</v>
      </c>
      <c r="D100" s="23">
        <v>64.94</v>
      </c>
      <c r="E100" s="23">
        <v>42.3</v>
      </c>
      <c r="F100" s="23">
        <v>51.2</v>
      </c>
      <c r="G100" s="24">
        <v>29.639999999999993</v>
      </c>
      <c r="H100" s="23">
        <v>257</v>
      </c>
      <c r="I100" s="25">
        <v>64.94</v>
      </c>
      <c r="J100" s="25">
        <f t="shared" si="17"/>
        <v>42.3</v>
      </c>
      <c r="K100" s="25">
        <f t="shared" si="18"/>
        <v>51.2</v>
      </c>
      <c r="L100" s="25">
        <f t="shared" si="19"/>
        <v>29.639999999999993</v>
      </c>
      <c r="M100" s="25">
        <f t="shared" si="20"/>
        <v>257</v>
      </c>
    </row>
    <row r="101" spans="1:13" ht="15.75" customHeight="1" x14ac:dyDescent="0.5">
      <c r="A101" s="21">
        <v>100</v>
      </c>
      <c r="B101" s="21">
        <f t="shared" si="16"/>
        <v>7</v>
      </c>
      <c r="C101" s="22">
        <f t="shared" si="0"/>
        <v>45095</v>
      </c>
      <c r="D101" s="23">
        <v>28.04</v>
      </c>
      <c r="E101" s="23">
        <v>41.7</v>
      </c>
      <c r="F101" s="23">
        <v>45.9</v>
      </c>
      <c r="G101" s="24">
        <v>16.010000000000005</v>
      </c>
      <c r="H101" s="23">
        <v>183</v>
      </c>
      <c r="I101" s="25">
        <v>28.04</v>
      </c>
      <c r="J101" s="25">
        <f t="shared" si="17"/>
        <v>41.7</v>
      </c>
      <c r="K101" s="25">
        <f t="shared" si="18"/>
        <v>45.9</v>
      </c>
      <c r="L101" s="25">
        <f t="shared" si="19"/>
        <v>16.010000000000005</v>
      </c>
      <c r="M101" s="25">
        <f t="shared" si="20"/>
        <v>183</v>
      </c>
    </row>
    <row r="102" spans="1:13" ht="15.75" customHeight="1" x14ac:dyDescent="0.5">
      <c r="A102" s="21">
        <v>101</v>
      </c>
      <c r="B102" s="21">
        <f t="shared" si="16"/>
        <v>1</v>
      </c>
      <c r="C102" s="22">
        <f t="shared" si="0"/>
        <v>45096</v>
      </c>
      <c r="D102" s="23">
        <v>51.480000000000004</v>
      </c>
      <c r="E102" s="23">
        <v>4.3</v>
      </c>
      <c r="F102" s="23">
        <v>49.8</v>
      </c>
      <c r="G102" s="24">
        <v>4.4699999999999989</v>
      </c>
      <c r="H102" s="23">
        <v>137</v>
      </c>
      <c r="I102" s="25">
        <v>51.480000000000004</v>
      </c>
      <c r="J102" s="25">
        <f t="shared" si="17"/>
        <v>4.3</v>
      </c>
      <c r="K102" s="25">
        <f t="shared" si="18"/>
        <v>49.8</v>
      </c>
      <c r="L102" s="25">
        <f t="shared" si="19"/>
        <v>4.4699999999999989</v>
      </c>
      <c r="M102" s="25">
        <f t="shared" si="20"/>
        <v>137</v>
      </c>
    </row>
    <row r="103" spans="1:13" ht="15.75" customHeight="1" x14ac:dyDescent="0.5">
      <c r="A103" s="21">
        <v>102</v>
      </c>
      <c r="B103" s="21">
        <f t="shared" si="16"/>
        <v>2</v>
      </c>
      <c r="C103" s="22">
        <f t="shared" si="0"/>
        <v>45097</v>
      </c>
      <c r="D103" s="23">
        <v>63.279999999999994</v>
      </c>
      <c r="E103" s="23">
        <v>36.299999999999997</v>
      </c>
      <c r="F103" s="23">
        <v>93.625</v>
      </c>
      <c r="G103" s="24">
        <v>10.339999999999989</v>
      </c>
      <c r="H103" s="23">
        <v>254</v>
      </c>
      <c r="I103" s="25">
        <v>63.279999999999994</v>
      </c>
      <c r="J103" s="25">
        <f t="shared" si="17"/>
        <v>36.299999999999997</v>
      </c>
      <c r="K103" s="25">
        <f t="shared" si="18"/>
        <v>93.625</v>
      </c>
      <c r="L103" s="25">
        <f t="shared" si="19"/>
        <v>10.339999999999989</v>
      </c>
      <c r="M103" s="25">
        <f t="shared" si="20"/>
        <v>254</v>
      </c>
    </row>
    <row r="104" spans="1:13" ht="15.75" customHeight="1" x14ac:dyDescent="0.5">
      <c r="A104" s="21">
        <v>103</v>
      </c>
      <c r="B104" s="21">
        <f t="shared" si="16"/>
        <v>3</v>
      </c>
      <c r="C104" s="22">
        <f t="shared" si="0"/>
        <v>45098</v>
      </c>
      <c r="D104" s="23">
        <v>64.039999999999992</v>
      </c>
      <c r="E104" s="23">
        <v>10.1</v>
      </c>
      <c r="F104" s="23">
        <v>21.4</v>
      </c>
      <c r="G104" s="24">
        <v>24.509999999999998</v>
      </c>
      <c r="H104" s="23">
        <v>158</v>
      </c>
      <c r="I104" s="25">
        <v>64.039999999999992</v>
      </c>
      <c r="J104" s="25">
        <f t="shared" si="17"/>
        <v>10.1</v>
      </c>
      <c r="K104" s="25">
        <f t="shared" si="18"/>
        <v>21.4</v>
      </c>
      <c r="L104" s="25">
        <f t="shared" si="19"/>
        <v>24.509999999999998</v>
      </c>
      <c r="M104" s="25">
        <f t="shared" si="20"/>
        <v>158</v>
      </c>
    </row>
    <row r="105" spans="1:13" ht="15.75" customHeight="1" x14ac:dyDescent="0.5">
      <c r="A105" s="21">
        <v>104</v>
      </c>
      <c r="B105" s="21">
        <f t="shared" si="16"/>
        <v>4</v>
      </c>
      <c r="C105" s="22">
        <f t="shared" si="0"/>
        <v>45099</v>
      </c>
      <c r="D105" s="23">
        <v>38.58</v>
      </c>
      <c r="E105" s="23">
        <v>17.2</v>
      </c>
      <c r="F105" s="23">
        <v>17.899999999999999</v>
      </c>
      <c r="G105" s="24">
        <v>20.23</v>
      </c>
      <c r="H105" s="23">
        <v>163</v>
      </c>
      <c r="I105" s="25">
        <v>38.58</v>
      </c>
      <c r="J105" s="25">
        <f t="shared" si="17"/>
        <v>17.2</v>
      </c>
      <c r="K105" s="25">
        <f t="shared" si="18"/>
        <v>17.899999999999999</v>
      </c>
      <c r="L105" s="25">
        <f t="shared" si="19"/>
        <v>20.23</v>
      </c>
      <c r="M105" s="25">
        <f t="shared" si="20"/>
        <v>163</v>
      </c>
    </row>
    <row r="106" spans="1:13" ht="15.75" customHeight="1" x14ac:dyDescent="0.5">
      <c r="A106" s="21">
        <v>105</v>
      </c>
      <c r="B106" s="21">
        <f t="shared" si="16"/>
        <v>5</v>
      </c>
      <c r="C106" s="22">
        <f t="shared" si="0"/>
        <v>45100</v>
      </c>
      <c r="D106" s="23">
        <v>54.64</v>
      </c>
      <c r="E106" s="23">
        <v>34.299999999999997</v>
      </c>
      <c r="F106" s="23">
        <v>5.3</v>
      </c>
      <c r="G106" s="24">
        <v>38.85</v>
      </c>
      <c r="H106" s="23">
        <v>208</v>
      </c>
      <c r="I106" s="25">
        <v>54.64</v>
      </c>
      <c r="J106" s="25">
        <f t="shared" si="17"/>
        <v>34.299999999999997</v>
      </c>
      <c r="K106" s="25">
        <f t="shared" si="18"/>
        <v>5.3</v>
      </c>
      <c r="L106" s="25">
        <f t="shared" si="19"/>
        <v>38.85</v>
      </c>
      <c r="M106" s="25">
        <f t="shared" si="20"/>
        <v>208</v>
      </c>
    </row>
    <row r="107" spans="1:13" ht="15.75" customHeight="1" x14ac:dyDescent="0.5">
      <c r="A107" s="21">
        <v>106</v>
      </c>
      <c r="B107" s="21">
        <f t="shared" si="16"/>
        <v>6</v>
      </c>
      <c r="C107" s="22">
        <f t="shared" si="0"/>
        <v>45101</v>
      </c>
      <c r="D107" s="23">
        <v>37.58</v>
      </c>
      <c r="E107" s="23">
        <v>46.4</v>
      </c>
      <c r="F107" s="23">
        <v>59</v>
      </c>
      <c r="G107" s="24">
        <v>13.39</v>
      </c>
      <c r="H107" s="23">
        <v>196</v>
      </c>
      <c r="I107" s="25">
        <v>37.58</v>
      </c>
      <c r="J107" s="25">
        <f t="shared" si="17"/>
        <v>46.4</v>
      </c>
      <c r="K107" s="25">
        <f t="shared" si="18"/>
        <v>59</v>
      </c>
      <c r="L107" s="25">
        <f t="shared" si="19"/>
        <v>13.39</v>
      </c>
      <c r="M107" s="25">
        <f t="shared" si="20"/>
        <v>196</v>
      </c>
    </row>
    <row r="108" spans="1:13" ht="15.75" customHeight="1" x14ac:dyDescent="0.5">
      <c r="A108" s="21">
        <v>107</v>
      </c>
      <c r="B108" s="21">
        <f t="shared" si="16"/>
        <v>7</v>
      </c>
      <c r="C108" s="22">
        <f t="shared" si="0"/>
        <v>45102</v>
      </c>
      <c r="D108" s="23">
        <v>8</v>
      </c>
      <c r="E108" s="23">
        <v>11</v>
      </c>
      <c r="F108" s="23">
        <v>29.7</v>
      </c>
      <c r="G108" s="24">
        <v>16.119999999999997</v>
      </c>
      <c r="H108" s="23">
        <v>86</v>
      </c>
      <c r="I108" s="25">
        <v>8</v>
      </c>
      <c r="J108" s="25">
        <f t="shared" si="17"/>
        <v>11</v>
      </c>
      <c r="K108" s="25">
        <f t="shared" si="18"/>
        <v>29.7</v>
      </c>
      <c r="L108" s="25">
        <f t="shared" si="19"/>
        <v>16.119999999999997</v>
      </c>
      <c r="M108" s="25">
        <f t="shared" si="20"/>
        <v>86</v>
      </c>
    </row>
    <row r="109" spans="1:13" ht="15.75" customHeight="1" x14ac:dyDescent="0.5">
      <c r="A109" s="21">
        <v>108</v>
      </c>
      <c r="B109" s="21">
        <f t="shared" si="16"/>
        <v>1</v>
      </c>
      <c r="C109" s="22">
        <f t="shared" si="0"/>
        <v>45103</v>
      </c>
      <c r="D109" s="23">
        <v>27.080000000000002</v>
      </c>
      <c r="E109" s="23">
        <v>0.3</v>
      </c>
      <c r="F109" s="23">
        <v>23.2</v>
      </c>
      <c r="G109" s="24">
        <v>19.910000000000004</v>
      </c>
      <c r="H109" s="23">
        <v>104</v>
      </c>
      <c r="I109" s="25">
        <v>27.080000000000002</v>
      </c>
      <c r="J109" s="25">
        <f t="shared" si="17"/>
        <v>0.3</v>
      </c>
      <c r="K109" s="25">
        <f t="shared" si="18"/>
        <v>23.2</v>
      </c>
      <c r="L109" s="25">
        <f t="shared" si="19"/>
        <v>19.910000000000004</v>
      </c>
      <c r="M109" s="25">
        <f t="shared" si="20"/>
        <v>104</v>
      </c>
    </row>
    <row r="110" spans="1:13" ht="15.75" customHeight="1" x14ac:dyDescent="0.5">
      <c r="A110" s="21">
        <v>109</v>
      </c>
      <c r="B110" s="21">
        <f t="shared" si="16"/>
        <v>2</v>
      </c>
      <c r="C110" s="22">
        <f t="shared" si="0"/>
        <v>45104</v>
      </c>
      <c r="D110" s="23">
        <v>9.620000000000001</v>
      </c>
      <c r="E110" s="23">
        <v>0.4</v>
      </c>
      <c r="F110" s="23">
        <v>25.6</v>
      </c>
      <c r="G110" s="24">
        <v>11.269999999999998</v>
      </c>
      <c r="H110" s="23">
        <v>54</v>
      </c>
      <c r="I110" s="25">
        <v>9.620000000000001</v>
      </c>
      <c r="J110" s="25">
        <f t="shared" si="17"/>
        <v>0.4</v>
      </c>
      <c r="K110" s="25">
        <f t="shared" si="18"/>
        <v>25.6</v>
      </c>
      <c r="L110" s="25">
        <f t="shared" si="19"/>
        <v>11.269999999999998</v>
      </c>
      <c r="M110" s="25">
        <f t="shared" si="20"/>
        <v>54</v>
      </c>
    </row>
    <row r="111" spans="1:13" ht="15.75" customHeight="1" x14ac:dyDescent="0.5">
      <c r="A111" s="21">
        <v>110</v>
      </c>
      <c r="B111" s="21">
        <f t="shared" si="16"/>
        <v>3</v>
      </c>
      <c r="C111" s="22">
        <f t="shared" si="0"/>
        <v>45105</v>
      </c>
      <c r="D111" s="23">
        <v>53.08</v>
      </c>
      <c r="E111" s="23">
        <v>26.9</v>
      </c>
      <c r="F111" s="23">
        <v>5.5</v>
      </c>
      <c r="G111" s="24">
        <v>36.789999999999992</v>
      </c>
      <c r="H111" s="23"/>
      <c r="I111" s="25">
        <v>53.08</v>
      </c>
      <c r="J111" s="25">
        <f t="shared" si="17"/>
        <v>26.9</v>
      </c>
      <c r="K111" s="25">
        <f t="shared" si="18"/>
        <v>5.5</v>
      </c>
      <c r="L111" s="25">
        <f t="shared" si="19"/>
        <v>36.789999999999992</v>
      </c>
      <c r="M111" s="25">
        <f t="shared" si="20"/>
        <v>140.72222222222223</v>
      </c>
    </row>
    <row r="112" spans="1:13" ht="15.75" customHeight="1" x14ac:dyDescent="0.5">
      <c r="A112" s="21">
        <v>111</v>
      </c>
      <c r="B112" s="21">
        <f t="shared" si="16"/>
        <v>4</v>
      </c>
      <c r="C112" s="22">
        <f t="shared" si="0"/>
        <v>45106</v>
      </c>
      <c r="D112" s="23">
        <v>54.160000000000004</v>
      </c>
      <c r="E112" s="23">
        <v>8.1999999999999993</v>
      </c>
      <c r="F112" s="23">
        <v>56.5</v>
      </c>
      <c r="G112" s="24">
        <v>4.0799999999999983</v>
      </c>
      <c r="H112" s="23">
        <v>150</v>
      </c>
      <c r="I112" s="25">
        <v>54.160000000000004</v>
      </c>
      <c r="J112" s="25">
        <f t="shared" si="17"/>
        <v>8.1999999999999993</v>
      </c>
      <c r="K112" s="25">
        <f t="shared" si="18"/>
        <v>56.5</v>
      </c>
      <c r="L112" s="25">
        <f t="shared" si="19"/>
        <v>4.0799999999999983</v>
      </c>
      <c r="M112" s="25">
        <f t="shared" si="20"/>
        <v>150</v>
      </c>
    </row>
    <row r="113" spans="1:13" ht="15.75" customHeight="1" x14ac:dyDescent="0.5">
      <c r="A113" s="21">
        <v>112</v>
      </c>
      <c r="B113" s="21">
        <f t="shared" si="16"/>
        <v>5</v>
      </c>
      <c r="C113" s="22">
        <f t="shared" si="0"/>
        <v>45107</v>
      </c>
      <c r="D113" s="23">
        <v>55.339999999999996</v>
      </c>
      <c r="E113" s="23">
        <v>38</v>
      </c>
      <c r="F113" s="23">
        <v>23.2</v>
      </c>
      <c r="G113" s="24">
        <v>33.89</v>
      </c>
      <c r="H113" s="23">
        <v>221</v>
      </c>
      <c r="I113" s="25">
        <v>55.339999999999996</v>
      </c>
      <c r="J113" s="25">
        <f t="shared" si="17"/>
        <v>38</v>
      </c>
      <c r="K113" s="25">
        <f t="shared" si="18"/>
        <v>23.2</v>
      </c>
      <c r="L113" s="25">
        <f t="shared" si="19"/>
        <v>33.89</v>
      </c>
      <c r="M113" s="25">
        <f t="shared" si="20"/>
        <v>221</v>
      </c>
    </row>
    <row r="114" spans="1:13" ht="15.75" customHeight="1" x14ac:dyDescent="0.5">
      <c r="A114" s="21">
        <v>113</v>
      </c>
      <c r="B114" s="21">
        <f t="shared" si="16"/>
        <v>6</v>
      </c>
      <c r="C114" s="22">
        <f t="shared" si="0"/>
        <v>45108</v>
      </c>
      <c r="D114" s="23">
        <v>39.14</v>
      </c>
      <c r="E114" s="23">
        <v>15.4</v>
      </c>
      <c r="F114" s="23">
        <v>2.4</v>
      </c>
      <c r="G114" s="24">
        <v>24.31</v>
      </c>
      <c r="H114" s="23">
        <v>159</v>
      </c>
      <c r="I114" s="25">
        <v>39.14</v>
      </c>
      <c r="J114" s="25">
        <f t="shared" si="17"/>
        <v>15.4</v>
      </c>
      <c r="K114" s="25">
        <f t="shared" si="18"/>
        <v>2.4</v>
      </c>
      <c r="L114" s="25">
        <f t="shared" si="19"/>
        <v>24.31</v>
      </c>
      <c r="M114" s="25">
        <f t="shared" si="20"/>
        <v>159</v>
      </c>
    </row>
    <row r="115" spans="1:13" ht="15.75" customHeight="1" x14ac:dyDescent="0.5">
      <c r="A115" s="21">
        <v>114</v>
      </c>
      <c r="B115" s="21">
        <f t="shared" si="16"/>
        <v>7</v>
      </c>
      <c r="C115" s="22">
        <f t="shared" si="0"/>
        <v>45109</v>
      </c>
      <c r="D115" s="23">
        <v>44.92</v>
      </c>
      <c r="E115" s="23">
        <v>20.6</v>
      </c>
      <c r="F115" s="23">
        <v>10.7</v>
      </c>
      <c r="G115" s="24">
        <v>26.98</v>
      </c>
      <c r="H115" s="23">
        <v>167</v>
      </c>
      <c r="I115" s="25">
        <v>44.92</v>
      </c>
      <c r="J115" s="25">
        <f t="shared" si="17"/>
        <v>20.6</v>
      </c>
      <c r="K115" s="25">
        <f t="shared" si="18"/>
        <v>10.7</v>
      </c>
      <c r="L115" s="25">
        <f t="shared" si="19"/>
        <v>26.98</v>
      </c>
      <c r="M115" s="25">
        <f t="shared" si="20"/>
        <v>167</v>
      </c>
    </row>
    <row r="116" spans="1:13" ht="15.75" customHeight="1" x14ac:dyDescent="0.5">
      <c r="A116" s="21">
        <v>115</v>
      </c>
      <c r="B116" s="21">
        <f t="shared" si="16"/>
        <v>1</v>
      </c>
      <c r="C116" s="22">
        <f t="shared" si="0"/>
        <v>45110</v>
      </c>
      <c r="D116" s="23">
        <v>18.64</v>
      </c>
      <c r="E116" s="23">
        <v>46.8</v>
      </c>
      <c r="F116" s="23">
        <v>34.5</v>
      </c>
      <c r="G116" s="24">
        <v>17.419999999999998</v>
      </c>
      <c r="H116" s="23">
        <v>152</v>
      </c>
      <c r="I116" s="25">
        <v>18.64</v>
      </c>
      <c r="J116" s="25">
        <f t="shared" si="17"/>
        <v>46.8</v>
      </c>
      <c r="K116" s="25">
        <f t="shared" si="18"/>
        <v>34.5</v>
      </c>
      <c r="L116" s="25">
        <f t="shared" si="19"/>
        <v>17.419999999999998</v>
      </c>
      <c r="M116" s="25">
        <f t="shared" si="20"/>
        <v>152</v>
      </c>
    </row>
    <row r="117" spans="1:13" ht="15.75" customHeight="1" x14ac:dyDescent="0.5">
      <c r="A117" s="21">
        <v>116</v>
      </c>
      <c r="B117" s="21">
        <f t="shared" si="16"/>
        <v>2</v>
      </c>
      <c r="C117" s="22">
        <f t="shared" si="0"/>
        <v>45111</v>
      </c>
      <c r="D117" s="23">
        <v>24.02</v>
      </c>
      <c r="E117" s="23">
        <v>35</v>
      </c>
      <c r="F117" s="23">
        <v>52.7</v>
      </c>
      <c r="G117" s="24">
        <v>3.9299999999999962</v>
      </c>
      <c r="H117" s="23">
        <v>133</v>
      </c>
      <c r="I117" s="25">
        <v>24.02</v>
      </c>
      <c r="J117" s="25">
        <f t="shared" si="17"/>
        <v>35</v>
      </c>
      <c r="K117" s="25">
        <f t="shared" si="18"/>
        <v>52.7</v>
      </c>
      <c r="L117" s="25">
        <f t="shared" si="19"/>
        <v>3.9299999999999962</v>
      </c>
      <c r="M117" s="25">
        <f t="shared" si="20"/>
        <v>133</v>
      </c>
    </row>
    <row r="118" spans="1:13" ht="15.75" customHeight="1" x14ac:dyDescent="0.5">
      <c r="A118" s="21">
        <v>117</v>
      </c>
      <c r="B118" s="21">
        <f t="shared" si="16"/>
        <v>3</v>
      </c>
      <c r="C118" s="22">
        <f t="shared" si="0"/>
        <v>45112</v>
      </c>
      <c r="D118" s="23">
        <v>37.839999999999996</v>
      </c>
      <c r="E118" s="23">
        <v>14.3</v>
      </c>
      <c r="F118" s="23">
        <v>25.6</v>
      </c>
      <c r="G118" s="24">
        <v>10.829999999999998</v>
      </c>
      <c r="H118" s="23">
        <v>129</v>
      </c>
      <c r="I118" s="25">
        <v>37.839999999999996</v>
      </c>
      <c r="J118" s="25">
        <f t="shared" si="17"/>
        <v>14.3</v>
      </c>
      <c r="K118" s="25">
        <f t="shared" si="18"/>
        <v>25.6</v>
      </c>
      <c r="L118" s="25">
        <f t="shared" si="19"/>
        <v>10.829999999999998</v>
      </c>
      <c r="M118" s="25">
        <f t="shared" si="20"/>
        <v>129</v>
      </c>
    </row>
    <row r="119" spans="1:13" ht="15.75" customHeight="1" x14ac:dyDescent="0.5">
      <c r="A119" s="21">
        <v>118</v>
      </c>
      <c r="B119" s="21">
        <f t="shared" si="16"/>
        <v>4</v>
      </c>
      <c r="C119" s="22">
        <f t="shared" si="0"/>
        <v>45113</v>
      </c>
      <c r="D119" s="23">
        <v>25.28</v>
      </c>
      <c r="E119" s="23">
        <v>0.8</v>
      </c>
      <c r="F119" s="23">
        <v>14.8</v>
      </c>
      <c r="G119" s="24">
        <v>2.12</v>
      </c>
      <c r="H119" s="23">
        <v>108</v>
      </c>
      <c r="I119" s="25">
        <v>25.28</v>
      </c>
      <c r="J119" s="25">
        <f t="shared" si="17"/>
        <v>0.8</v>
      </c>
      <c r="K119" s="25">
        <f t="shared" si="18"/>
        <v>14.8</v>
      </c>
      <c r="L119" s="25">
        <f t="shared" si="19"/>
        <v>2.12</v>
      </c>
      <c r="M119" s="25">
        <f t="shared" si="20"/>
        <v>108</v>
      </c>
    </row>
    <row r="120" spans="1:13" ht="15.75" customHeight="1" x14ac:dyDescent="0.5">
      <c r="A120" s="21">
        <v>119</v>
      </c>
      <c r="B120" s="21">
        <f t="shared" si="16"/>
        <v>5</v>
      </c>
      <c r="C120" s="22">
        <f t="shared" si="0"/>
        <v>45114</v>
      </c>
      <c r="D120" s="23">
        <v>29.14</v>
      </c>
      <c r="E120" s="23">
        <v>36.9</v>
      </c>
      <c r="F120" s="23">
        <v>79.2</v>
      </c>
      <c r="G120" s="24">
        <v>19.339999999999996</v>
      </c>
      <c r="H120" s="23">
        <v>172</v>
      </c>
      <c r="I120" s="25">
        <v>29.14</v>
      </c>
      <c r="J120" s="25">
        <f t="shared" si="17"/>
        <v>36.9</v>
      </c>
      <c r="K120" s="25">
        <f t="shared" si="18"/>
        <v>79.2</v>
      </c>
      <c r="L120" s="25">
        <f t="shared" si="19"/>
        <v>19.339999999999996</v>
      </c>
      <c r="M120" s="25">
        <f t="shared" si="20"/>
        <v>172</v>
      </c>
    </row>
    <row r="121" spans="1:13" ht="15.75" customHeight="1" x14ac:dyDescent="0.5">
      <c r="A121" s="21">
        <v>120</v>
      </c>
      <c r="B121" s="21">
        <f t="shared" si="16"/>
        <v>6</v>
      </c>
      <c r="C121" s="22">
        <f t="shared" si="0"/>
        <v>45115</v>
      </c>
      <c r="D121" s="23">
        <v>9.879999999999999</v>
      </c>
      <c r="E121" s="23">
        <v>16</v>
      </c>
      <c r="F121" s="23">
        <v>22.3</v>
      </c>
      <c r="G121" s="24">
        <v>1.0199999999999996</v>
      </c>
      <c r="H121" s="23">
        <v>77</v>
      </c>
      <c r="I121" s="25">
        <v>9.879999999999999</v>
      </c>
      <c r="J121" s="25">
        <f t="shared" si="17"/>
        <v>16</v>
      </c>
      <c r="K121" s="25">
        <f t="shared" si="18"/>
        <v>22.3</v>
      </c>
      <c r="L121" s="25">
        <f t="shared" si="19"/>
        <v>1.0199999999999996</v>
      </c>
      <c r="M121" s="25">
        <f t="shared" si="20"/>
        <v>77</v>
      </c>
    </row>
    <row r="122" spans="1:13" ht="15.75" customHeight="1" x14ac:dyDescent="0.5">
      <c r="A122" s="21">
        <v>121</v>
      </c>
      <c r="B122" s="21">
        <f t="shared" si="16"/>
        <v>7</v>
      </c>
      <c r="C122" s="22">
        <f t="shared" si="0"/>
        <v>45116</v>
      </c>
      <c r="D122" s="23">
        <v>36.260000000000005</v>
      </c>
      <c r="E122" s="23">
        <v>26.8</v>
      </c>
      <c r="F122" s="23">
        <v>46.2</v>
      </c>
      <c r="G122" s="24">
        <v>9.0500000000000007</v>
      </c>
      <c r="H122" s="23">
        <v>163</v>
      </c>
      <c r="I122" s="25">
        <v>36.260000000000005</v>
      </c>
      <c r="J122" s="25">
        <f t="shared" si="17"/>
        <v>26.8</v>
      </c>
      <c r="K122" s="25">
        <f t="shared" si="18"/>
        <v>46.2</v>
      </c>
      <c r="L122" s="25">
        <f t="shared" si="19"/>
        <v>9.0500000000000007</v>
      </c>
      <c r="M122" s="25">
        <f t="shared" si="20"/>
        <v>163</v>
      </c>
    </row>
    <row r="123" spans="1:13" ht="15.75" customHeight="1" x14ac:dyDescent="0.5">
      <c r="A123" s="21">
        <v>122</v>
      </c>
      <c r="B123" s="21">
        <f t="shared" si="16"/>
        <v>1</v>
      </c>
      <c r="C123" s="22">
        <f t="shared" si="0"/>
        <v>45117</v>
      </c>
      <c r="D123" s="23">
        <v>7.76</v>
      </c>
      <c r="E123" s="23">
        <v>21.7</v>
      </c>
      <c r="F123" s="23">
        <v>50.4</v>
      </c>
      <c r="G123" s="24">
        <v>12.57</v>
      </c>
      <c r="H123" s="23">
        <v>81</v>
      </c>
      <c r="I123" s="25">
        <v>7.76</v>
      </c>
      <c r="J123" s="25">
        <f t="shared" si="17"/>
        <v>21.7</v>
      </c>
      <c r="K123" s="25">
        <f t="shared" si="18"/>
        <v>50.4</v>
      </c>
      <c r="L123" s="25">
        <f t="shared" si="19"/>
        <v>12.57</v>
      </c>
      <c r="M123" s="25">
        <f t="shared" si="20"/>
        <v>81</v>
      </c>
    </row>
    <row r="124" spans="1:13" ht="15.75" customHeight="1" x14ac:dyDescent="0.5">
      <c r="A124" s="21">
        <v>123</v>
      </c>
      <c r="B124" s="21">
        <f t="shared" si="16"/>
        <v>2</v>
      </c>
      <c r="C124" s="22">
        <f t="shared" si="0"/>
        <v>45118</v>
      </c>
      <c r="D124" s="23">
        <v>45.8</v>
      </c>
      <c r="E124" s="23">
        <v>2.4</v>
      </c>
      <c r="F124" s="23">
        <v>15.6</v>
      </c>
      <c r="G124" s="24">
        <v>17.36</v>
      </c>
      <c r="H124" s="23">
        <v>125</v>
      </c>
      <c r="I124" s="25">
        <v>45.8</v>
      </c>
      <c r="J124" s="25">
        <f t="shared" si="17"/>
        <v>2.4</v>
      </c>
      <c r="K124" s="25">
        <f t="shared" si="18"/>
        <v>15.6</v>
      </c>
      <c r="L124" s="25">
        <f t="shared" si="19"/>
        <v>17.36</v>
      </c>
      <c r="M124" s="25">
        <f t="shared" si="20"/>
        <v>125</v>
      </c>
    </row>
    <row r="125" spans="1:13" ht="15.75" customHeight="1" x14ac:dyDescent="0.5">
      <c r="A125" s="21">
        <v>124</v>
      </c>
      <c r="B125" s="21">
        <f t="shared" si="16"/>
        <v>3</v>
      </c>
      <c r="C125" s="22">
        <f t="shared" si="0"/>
        <v>45119</v>
      </c>
      <c r="D125" s="23">
        <v>33.619999999999997</v>
      </c>
      <c r="E125" s="23">
        <v>34.6</v>
      </c>
      <c r="F125" s="23">
        <v>12.4</v>
      </c>
      <c r="G125" s="24">
        <v>24.65</v>
      </c>
      <c r="H125" s="23">
        <v>171</v>
      </c>
      <c r="I125" s="25">
        <v>33.619999999999997</v>
      </c>
      <c r="J125" s="25">
        <f t="shared" si="17"/>
        <v>34.6</v>
      </c>
      <c r="K125" s="25">
        <f t="shared" si="18"/>
        <v>12.4</v>
      </c>
      <c r="L125" s="25">
        <f t="shared" si="19"/>
        <v>24.65</v>
      </c>
      <c r="M125" s="25">
        <f t="shared" si="20"/>
        <v>171</v>
      </c>
    </row>
    <row r="126" spans="1:13" ht="15.75" customHeight="1" x14ac:dyDescent="0.5">
      <c r="A126" s="21">
        <v>125</v>
      </c>
      <c r="B126" s="21">
        <f t="shared" si="16"/>
        <v>4</v>
      </c>
      <c r="C126" s="22">
        <f t="shared" si="0"/>
        <v>45120</v>
      </c>
      <c r="D126" s="23">
        <v>51.9</v>
      </c>
      <c r="E126" s="23">
        <v>32.299999999999997</v>
      </c>
      <c r="F126" s="23">
        <v>74.2</v>
      </c>
      <c r="G126" s="24">
        <v>9.419999999999991</v>
      </c>
      <c r="H126" s="23">
        <v>201</v>
      </c>
      <c r="I126" s="25">
        <v>51.9</v>
      </c>
      <c r="J126" s="25">
        <f t="shared" si="17"/>
        <v>32.299999999999997</v>
      </c>
      <c r="K126" s="25">
        <f t="shared" si="18"/>
        <v>74.2</v>
      </c>
      <c r="L126" s="25">
        <f t="shared" si="19"/>
        <v>9.419999999999991</v>
      </c>
      <c r="M126" s="25">
        <f t="shared" si="20"/>
        <v>201</v>
      </c>
    </row>
    <row r="127" spans="1:13" ht="15.75" customHeight="1" x14ac:dyDescent="0.5">
      <c r="A127" s="21">
        <v>126</v>
      </c>
      <c r="B127" s="21">
        <f t="shared" si="16"/>
        <v>5</v>
      </c>
      <c r="C127" s="22">
        <f t="shared" si="0"/>
        <v>45121</v>
      </c>
      <c r="D127" s="23">
        <v>18.440000000000001</v>
      </c>
      <c r="E127" s="23">
        <v>11.8</v>
      </c>
      <c r="F127" s="23">
        <v>25.9</v>
      </c>
      <c r="G127" s="24">
        <v>4.2600000000000016</v>
      </c>
      <c r="H127" s="23">
        <v>126</v>
      </c>
      <c r="I127" s="25">
        <v>18.440000000000001</v>
      </c>
      <c r="J127" s="25">
        <f t="shared" si="17"/>
        <v>11.8</v>
      </c>
      <c r="K127" s="25">
        <f t="shared" si="18"/>
        <v>25.9</v>
      </c>
      <c r="L127" s="25">
        <f t="shared" si="19"/>
        <v>4.2600000000000016</v>
      </c>
      <c r="M127" s="25">
        <f t="shared" si="20"/>
        <v>126</v>
      </c>
    </row>
    <row r="128" spans="1:13" ht="15.75" customHeight="1" x14ac:dyDescent="0.5">
      <c r="A128" s="21">
        <v>127</v>
      </c>
      <c r="B128" s="21">
        <f t="shared" si="16"/>
        <v>6</v>
      </c>
      <c r="C128" s="22">
        <f t="shared" si="0"/>
        <v>45122</v>
      </c>
      <c r="D128" s="23">
        <v>8.56</v>
      </c>
      <c r="E128" s="23">
        <v>38.9</v>
      </c>
      <c r="F128" s="23">
        <v>50.6</v>
      </c>
      <c r="G128" s="24">
        <v>19.989999999999998</v>
      </c>
      <c r="H128" s="23">
        <v>78</v>
      </c>
      <c r="I128" s="25">
        <v>8.56</v>
      </c>
      <c r="J128" s="25">
        <f t="shared" si="17"/>
        <v>38.9</v>
      </c>
      <c r="K128" s="25">
        <f t="shared" si="18"/>
        <v>50.6</v>
      </c>
      <c r="L128" s="25">
        <f t="shared" si="19"/>
        <v>19.989999999999998</v>
      </c>
      <c r="M128" s="25">
        <f t="shared" si="20"/>
        <v>78</v>
      </c>
    </row>
    <row r="129" spans="1:13" ht="15.75" customHeight="1" x14ac:dyDescent="0.5">
      <c r="A129" s="21">
        <v>128</v>
      </c>
      <c r="B129" s="21">
        <f t="shared" si="16"/>
        <v>7</v>
      </c>
      <c r="C129" s="22">
        <f t="shared" si="0"/>
        <v>45123</v>
      </c>
      <c r="D129" s="23">
        <v>71.06</v>
      </c>
      <c r="E129" s="23"/>
      <c r="F129" s="23">
        <v>9.1999999999999993</v>
      </c>
      <c r="G129" s="24">
        <v>31.35</v>
      </c>
      <c r="H129" s="23">
        <v>92</v>
      </c>
      <c r="I129" s="25">
        <v>71.06</v>
      </c>
      <c r="J129" s="25">
        <f t="shared" si="17"/>
        <v>23.450000000000003</v>
      </c>
      <c r="K129" s="25">
        <f t="shared" si="18"/>
        <v>9.1999999999999993</v>
      </c>
      <c r="L129" s="25">
        <f t="shared" si="19"/>
        <v>31.35</v>
      </c>
      <c r="M129" s="25">
        <f t="shared" si="20"/>
        <v>92</v>
      </c>
    </row>
    <row r="130" spans="1:13" ht="15.75" customHeight="1" x14ac:dyDescent="0.5">
      <c r="A130" s="21">
        <v>129</v>
      </c>
      <c r="B130" s="21">
        <f t="shared" si="16"/>
        <v>1</v>
      </c>
      <c r="C130" s="22">
        <f t="shared" si="0"/>
        <v>45124</v>
      </c>
      <c r="D130" s="23">
        <v>54.06</v>
      </c>
      <c r="E130" s="23">
        <v>49</v>
      </c>
      <c r="F130" s="23">
        <v>3.2</v>
      </c>
      <c r="G130" s="24">
        <v>45.25</v>
      </c>
      <c r="H130" s="23">
        <v>264</v>
      </c>
      <c r="I130" s="25">
        <v>54.06</v>
      </c>
      <c r="J130" s="25">
        <f t="shared" ref="J130:J161" si="21">IF(ISBLANK(E130),U$19,E130)</f>
        <v>49</v>
      </c>
      <c r="K130" s="25">
        <f t="shared" ref="K130:K161" si="22">IF(ISBLANK(F130),U$20,F130)</f>
        <v>3.2</v>
      </c>
      <c r="L130" s="25">
        <f t="shared" ref="L130:L161" si="23">IF(ISBLANK(G130),U$21,G130)</f>
        <v>45.25</v>
      </c>
      <c r="M130" s="25">
        <f t="shared" ref="M130:M161" si="24">IF(ISBLANK(H130),VLOOKUP(B130,$O$1:$P$9,2,TRUE),H130)</f>
        <v>264</v>
      </c>
    </row>
    <row r="131" spans="1:13" ht="15.75" customHeight="1" x14ac:dyDescent="0.5">
      <c r="A131" s="21">
        <v>130</v>
      </c>
      <c r="B131" s="21">
        <f t="shared" ref="B131:B194" si="25">WEEKDAY(C131,2)</f>
        <v>2</v>
      </c>
      <c r="C131" s="22">
        <f t="shared" si="0"/>
        <v>45125</v>
      </c>
      <c r="D131" s="23">
        <v>18.920000000000002</v>
      </c>
      <c r="E131" s="23">
        <v>12</v>
      </c>
      <c r="F131" s="23">
        <v>43.1</v>
      </c>
      <c r="G131" s="24">
        <v>14.719999999999999</v>
      </c>
      <c r="H131" s="23">
        <v>116</v>
      </c>
      <c r="I131" s="25">
        <v>18.920000000000002</v>
      </c>
      <c r="J131" s="25">
        <f t="shared" si="21"/>
        <v>12</v>
      </c>
      <c r="K131" s="25">
        <f t="shared" si="22"/>
        <v>43.1</v>
      </c>
      <c r="L131" s="25">
        <f t="shared" si="23"/>
        <v>14.719999999999999</v>
      </c>
      <c r="M131" s="25">
        <f t="shared" si="24"/>
        <v>116</v>
      </c>
    </row>
    <row r="132" spans="1:13" ht="15.75" customHeight="1" x14ac:dyDescent="0.5">
      <c r="A132" s="21">
        <v>131</v>
      </c>
      <c r="B132" s="21">
        <f t="shared" si="25"/>
        <v>3</v>
      </c>
      <c r="C132" s="22">
        <f t="shared" si="0"/>
        <v>45126</v>
      </c>
      <c r="D132" s="23">
        <v>6</v>
      </c>
      <c r="E132" s="23">
        <v>39.6</v>
      </c>
      <c r="F132" s="23">
        <v>8.6999999999999993</v>
      </c>
      <c r="G132" s="24">
        <v>111</v>
      </c>
      <c r="H132" s="23">
        <v>28</v>
      </c>
      <c r="I132" s="25">
        <v>6</v>
      </c>
      <c r="J132" s="25">
        <f t="shared" si="21"/>
        <v>39.6</v>
      </c>
      <c r="K132" s="25">
        <f t="shared" si="22"/>
        <v>8.6999999999999993</v>
      </c>
      <c r="L132" s="25">
        <f t="shared" si="23"/>
        <v>111</v>
      </c>
      <c r="M132" s="25">
        <f t="shared" si="24"/>
        <v>28</v>
      </c>
    </row>
    <row r="133" spans="1:13" ht="15.75" customHeight="1" x14ac:dyDescent="0.5">
      <c r="A133" s="21">
        <v>132</v>
      </c>
      <c r="B133" s="21">
        <f t="shared" si="25"/>
        <v>4</v>
      </c>
      <c r="C133" s="22">
        <f t="shared" si="0"/>
        <v>45127</v>
      </c>
      <c r="D133" s="23">
        <v>55.04</v>
      </c>
      <c r="E133" s="23">
        <v>2.9</v>
      </c>
      <c r="F133" s="23">
        <v>43</v>
      </c>
      <c r="G133" s="24">
        <v>10.77</v>
      </c>
      <c r="H133" s="23">
        <v>147</v>
      </c>
      <c r="I133" s="25">
        <v>55.04</v>
      </c>
      <c r="J133" s="25">
        <f t="shared" si="21"/>
        <v>2.9</v>
      </c>
      <c r="K133" s="25">
        <f t="shared" si="22"/>
        <v>43</v>
      </c>
      <c r="L133" s="25">
        <f t="shared" si="23"/>
        <v>10.77</v>
      </c>
      <c r="M133" s="25">
        <f t="shared" si="24"/>
        <v>147</v>
      </c>
    </row>
    <row r="134" spans="1:13" ht="15.75" customHeight="1" x14ac:dyDescent="0.5">
      <c r="A134" s="21">
        <v>133</v>
      </c>
      <c r="B134" s="21">
        <f t="shared" si="25"/>
        <v>5</v>
      </c>
      <c r="C134" s="22">
        <f t="shared" si="0"/>
        <v>45128</v>
      </c>
      <c r="D134" s="23">
        <v>5.68</v>
      </c>
      <c r="E134" s="23">
        <v>27.2</v>
      </c>
      <c r="F134" s="23">
        <v>2.1</v>
      </c>
      <c r="G134" s="24">
        <v>13.6</v>
      </c>
      <c r="H134" s="23">
        <v>71</v>
      </c>
      <c r="I134" s="25">
        <v>5.68</v>
      </c>
      <c r="J134" s="25">
        <f t="shared" si="21"/>
        <v>27.2</v>
      </c>
      <c r="K134" s="25">
        <f t="shared" si="22"/>
        <v>2.1</v>
      </c>
      <c r="L134" s="25">
        <f t="shared" si="23"/>
        <v>13.6</v>
      </c>
      <c r="M134" s="25">
        <f t="shared" si="24"/>
        <v>71</v>
      </c>
    </row>
    <row r="135" spans="1:13" ht="15.75" customHeight="1" x14ac:dyDescent="0.5">
      <c r="A135" s="21">
        <v>134</v>
      </c>
      <c r="B135" s="21">
        <f t="shared" si="25"/>
        <v>6</v>
      </c>
      <c r="C135" s="22">
        <f t="shared" si="0"/>
        <v>45129</v>
      </c>
      <c r="D135" s="23">
        <v>45.96</v>
      </c>
      <c r="E135" s="23">
        <v>33.5</v>
      </c>
      <c r="F135" s="23">
        <v>45.1</v>
      </c>
      <c r="G135" s="24">
        <v>20.69</v>
      </c>
      <c r="H135" s="23"/>
      <c r="I135" s="25">
        <v>45.96</v>
      </c>
      <c r="J135" s="25">
        <f t="shared" si="21"/>
        <v>33.5</v>
      </c>
      <c r="K135" s="25">
        <f t="shared" si="22"/>
        <v>45.1</v>
      </c>
      <c r="L135" s="25">
        <f t="shared" si="23"/>
        <v>20.69</v>
      </c>
      <c r="M135" s="25">
        <f t="shared" si="24"/>
        <v>164.45535714285714</v>
      </c>
    </row>
    <row r="136" spans="1:13" ht="15.75" customHeight="1" x14ac:dyDescent="0.5">
      <c r="A136" s="21">
        <v>135</v>
      </c>
      <c r="B136" s="21">
        <f t="shared" si="25"/>
        <v>7</v>
      </c>
      <c r="C136" s="22">
        <f t="shared" si="0"/>
        <v>45130</v>
      </c>
      <c r="D136" s="23">
        <v>14.379999999999999</v>
      </c>
      <c r="E136" s="23">
        <v>38.6</v>
      </c>
      <c r="F136" s="23">
        <v>65.599999999999994</v>
      </c>
      <c r="G136" s="24">
        <v>16.750000000000004</v>
      </c>
      <c r="H136" s="23">
        <v>124</v>
      </c>
      <c r="I136" s="25">
        <v>14.379999999999999</v>
      </c>
      <c r="J136" s="25">
        <f t="shared" si="21"/>
        <v>38.6</v>
      </c>
      <c r="K136" s="25">
        <f t="shared" si="22"/>
        <v>65.599999999999994</v>
      </c>
      <c r="L136" s="25">
        <f t="shared" si="23"/>
        <v>16.750000000000004</v>
      </c>
      <c r="M136" s="25">
        <f t="shared" si="24"/>
        <v>124</v>
      </c>
    </row>
    <row r="137" spans="1:13" ht="15.75" customHeight="1" x14ac:dyDescent="0.5">
      <c r="A137" s="21">
        <v>136</v>
      </c>
      <c r="B137" s="21">
        <f t="shared" si="25"/>
        <v>1</v>
      </c>
      <c r="C137" s="22">
        <f t="shared" si="0"/>
        <v>45131</v>
      </c>
      <c r="D137" s="23">
        <v>14.66</v>
      </c>
      <c r="E137" s="23">
        <v>47</v>
      </c>
      <c r="F137" s="23">
        <v>8.5</v>
      </c>
      <c r="G137" s="24">
        <v>24.93</v>
      </c>
      <c r="H137" s="23">
        <v>124</v>
      </c>
      <c r="I137" s="25">
        <v>14.66</v>
      </c>
      <c r="J137" s="25">
        <f t="shared" si="21"/>
        <v>47</v>
      </c>
      <c r="K137" s="25">
        <f t="shared" si="22"/>
        <v>8.5</v>
      </c>
      <c r="L137" s="25">
        <f t="shared" si="23"/>
        <v>24.93</v>
      </c>
      <c r="M137" s="25">
        <f t="shared" si="24"/>
        <v>124</v>
      </c>
    </row>
    <row r="138" spans="1:13" ht="15.75" customHeight="1" x14ac:dyDescent="0.5">
      <c r="A138" s="21">
        <v>137</v>
      </c>
      <c r="B138" s="21">
        <f t="shared" si="25"/>
        <v>2</v>
      </c>
      <c r="C138" s="22">
        <f t="shared" si="0"/>
        <v>45132</v>
      </c>
      <c r="D138" s="23">
        <v>10.120000000000001</v>
      </c>
      <c r="E138" s="23">
        <v>39</v>
      </c>
      <c r="F138" s="23">
        <v>9.3000000000000007</v>
      </c>
      <c r="G138" s="24">
        <v>18.339999999999996</v>
      </c>
      <c r="H138" s="23">
        <v>98</v>
      </c>
      <c r="I138" s="25">
        <v>10.120000000000001</v>
      </c>
      <c r="J138" s="25">
        <f t="shared" si="21"/>
        <v>39</v>
      </c>
      <c r="K138" s="25">
        <f t="shared" si="22"/>
        <v>9.3000000000000007</v>
      </c>
      <c r="L138" s="25">
        <f t="shared" si="23"/>
        <v>18.339999999999996</v>
      </c>
      <c r="M138" s="25">
        <f t="shared" si="24"/>
        <v>98</v>
      </c>
    </row>
    <row r="139" spans="1:13" ht="15.75" customHeight="1" x14ac:dyDescent="0.5">
      <c r="A139" s="21">
        <v>138</v>
      </c>
      <c r="B139" s="21">
        <f t="shared" si="25"/>
        <v>3</v>
      </c>
      <c r="C139" s="22">
        <f t="shared" si="0"/>
        <v>45133</v>
      </c>
      <c r="D139" s="23">
        <v>58.739999999999995</v>
      </c>
      <c r="E139" s="23">
        <v>28.9</v>
      </c>
      <c r="F139" s="23">
        <v>59.7</v>
      </c>
      <c r="G139" s="24">
        <v>17.939999999999991</v>
      </c>
      <c r="H139" s="23">
        <v>210</v>
      </c>
      <c r="I139" s="25">
        <v>58.739999999999995</v>
      </c>
      <c r="J139" s="25">
        <f t="shared" si="21"/>
        <v>28.9</v>
      </c>
      <c r="K139" s="25">
        <f t="shared" si="22"/>
        <v>59.7</v>
      </c>
      <c r="L139" s="25">
        <f t="shared" si="23"/>
        <v>17.939999999999991</v>
      </c>
      <c r="M139" s="25">
        <f t="shared" si="24"/>
        <v>210</v>
      </c>
    </row>
    <row r="140" spans="1:13" ht="15.75" customHeight="1" x14ac:dyDescent="0.5">
      <c r="A140" s="21">
        <v>139</v>
      </c>
      <c r="B140" s="21">
        <f t="shared" si="25"/>
        <v>4</v>
      </c>
      <c r="C140" s="22">
        <f t="shared" si="0"/>
        <v>45134</v>
      </c>
      <c r="D140" s="23">
        <v>9.6</v>
      </c>
      <c r="E140" s="23">
        <v>25.9</v>
      </c>
      <c r="F140" s="23">
        <v>20.5</v>
      </c>
      <c r="G140" s="24">
        <v>9.0499999999999989</v>
      </c>
      <c r="H140" s="23">
        <v>109</v>
      </c>
      <c r="I140" s="25">
        <v>9.6</v>
      </c>
      <c r="J140" s="25">
        <f t="shared" si="21"/>
        <v>25.9</v>
      </c>
      <c r="K140" s="25">
        <f t="shared" si="22"/>
        <v>20.5</v>
      </c>
      <c r="L140" s="25">
        <f t="shared" si="23"/>
        <v>9.0499999999999989</v>
      </c>
      <c r="M140" s="25">
        <f t="shared" si="24"/>
        <v>109</v>
      </c>
    </row>
    <row r="141" spans="1:13" ht="15.75" customHeight="1" x14ac:dyDescent="0.5">
      <c r="A141" s="21">
        <v>140</v>
      </c>
      <c r="B141" s="21">
        <f t="shared" si="25"/>
        <v>5</v>
      </c>
      <c r="C141" s="22">
        <f t="shared" si="0"/>
        <v>45135</v>
      </c>
      <c r="D141" s="23">
        <v>196.98</v>
      </c>
      <c r="E141" s="23">
        <v>43.9</v>
      </c>
      <c r="F141" s="23">
        <v>1.7</v>
      </c>
      <c r="G141" s="24">
        <v>39.76</v>
      </c>
      <c r="H141" s="23">
        <v>227</v>
      </c>
      <c r="I141" s="25">
        <v>196.98</v>
      </c>
      <c r="J141" s="25">
        <f t="shared" si="21"/>
        <v>43.9</v>
      </c>
      <c r="K141" s="25">
        <f t="shared" si="22"/>
        <v>1.7</v>
      </c>
      <c r="L141" s="25">
        <f t="shared" si="23"/>
        <v>39.76</v>
      </c>
      <c r="M141" s="25">
        <f t="shared" si="24"/>
        <v>227</v>
      </c>
    </row>
    <row r="142" spans="1:13" ht="15.75" customHeight="1" x14ac:dyDescent="0.5">
      <c r="A142" s="21">
        <v>141</v>
      </c>
      <c r="B142" s="21">
        <f t="shared" si="25"/>
        <v>6</v>
      </c>
      <c r="C142" s="22">
        <f t="shared" si="0"/>
        <v>45136</v>
      </c>
      <c r="D142" s="23"/>
      <c r="E142" s="23">
        <v>17</v>
      </c>
      <c r="F142" s="23">
        <v>12.9</v>
      </c>
      <c r="G142" s="24">
        <v>10.68</v>
      </c>
      <c r="H142" s="23">
        <v>113</v>
      </c>
      <c r="I142" s="25">
        <v>20.910000000000004</v>
      </c>
      <c r="J142" s="25">
        <f t="shared" si="21"/>
        <v>17</v>
      </c>
      <c r="K142" s="25">
        <f t="shared" si="22"/>
        <v>12.9</v>
      </c>
      <c r="L142" s="25">
        <f t="shared" si="23"/>
        <v>10.68</v>
      </c>
      <c r="M142" s="25">
        <f t="shared" si="24"/>
        <v>113</v>
      </c>
    </row>
    <row r="143" spans="1:13" ht="15.75" customHeight="1" x14ac:dyDescent="0.5">
      <c r="A143" s="21">
        <v>142</v>
      </c>
      <c r="B143" s="21">
        <f t="shared" si="25"/>
        <v>7</v>
      </c>
      <c r="C143" s="22">
        <f t="shared" si="0"/>
        <v>45137</v>
      </c>
      <c r="D143" s="23"/>
      <c r="E143" s="23">
        <v>35.4</v>
      </c>
      <c r="F143" s="23">
        <v>75.599999999999994</v>
      </c>
      <c r="G143" s="24">
        <v>6.8299999999999947</v>
      </c>
      <c r="H143" s="23">
        <v>207</v>
      </c>
      <c r="I143" s="25">
        <v>49.443333333333328</v>
      </c>
      <c r="J143" s="25">
        <f t="shared" si="21"/>
        <v>35.4</v>
      </c>
      <c r="K143" s="25">
        <f t="shared" si="22"/>
        <v>75.599999999999994</v>
      </c>
      <c r="L143" s="25">
        <f t="shared" si="23"/>
        <v>6.8299999999999947</v>
      </c>
      <c r="M143" s="25">
        <f t="shared" si="24"/>
        <v>207</v>
      </c>
    </row>
    <row r="144" spans="1:13" ht="15.75" customHeight="1" x14ac:dyDescent="0.5">
      <c r="A144" s="21">
        <v>143</v>
      </c>
      <c r="B144" s="21">
        <f t="shared" si="25"/>
        <v>1</v>
      </c>
      <c r="C144" s="22">
        <f t="shared" si="0"/>
        <v>45138</v>
      </c>
      <c r="D144" s="23">
        <v>50.1</v>
      </c>
      <c r="E144" s="23">
        <v>33.200000000000003</v>
      </c>
      <c r="F144" s="23">
        <v>37.9</v>
      </c>
      <c r="G144" s="24">
        <v>23.490000000000006</v>
      </c>
      <c r="H144" s="23">
        <v>218</v>
      </c>
      <c r="I144" s="25">
        <v>50.1</v>
      </c>
      <c r="J144" s="25">
        <f t="shared" si="21"/>
        <v>33.200000000000003</v>
      </c>
      <c r="K144" s="25">
        <f t="shared" si="22"/>
        <v>37.9</v>
      </c>
      <c r="L144" s="25">
        <f t="shared" si="23"/>
        <v>23.490000000000006</v>
      </c>
      <c r="M144" s="25">
        <f t="shared" si="24"/>
        <v>218</v>
      </c>
    </row>
    <row r="145" spans="1:13" ht="15.75" customHeight="1" x14ac:dyDescent="0.5">
      <c r="A145" s="21">
        <v>144</v>
      </c>
      <c r="B145" s="21">
        <f t="shared" si="25"/>
        <v>2</v>
      </c>
      <c r="C145" s="22">
        <f t="shared" si="0"/>
        <v>45139</v>
      </c>
      <c r="D145" s="23">
        <v>28.919999999999998</v>
      </c>
      <c r="E145" s="23">
        <v>5.7</v>
      </c>
      <c r="F145" s="23">
        <v>34.4</v>
      </c>
      <c r="G145" s="24">
        <v>19.549999999999997</v>
      </c>
      <c r="H145" s="23"/>
      <c r="I145" s="25">
        <v>28.919999999999998</v>
      </c>
      <c r="J145" s="25">
        <f t="shared" si="21"/>
        <v>5.7</v>
      </c>
      <c r="K145" s="25">
        <f t="shared" si="22"/>
        <v>34.4</v>
      </c>
      <c r="L145" s="25">
        <f t="shared" si="23"/>
        <v>19.549999999999997</v>
      </c>
      <c r="M145" s="25">
        <f t="shared" si="24"/>
        <v>144.14285714285714</v>
      </c>
    </row>
    <row r="146" spans="1:13" ht="15.75" customHeight="1" x14ac:dyDescent="0.5">
      <c r="A146" s="21">
        <v>145</v>
      </c>
      <c r="B146" s="21">
        <f t="shared" si="25"/>
        <v>3</v>
      </c>
      <c r="C146" s="22">
        <f t="shared" si="0"/>
        <v>45140</v>
      </c>
      <c r="D146" s="23">
        <v>29.240000000000002</v>
      </c>
      <c r="E146" s="23">
        <v>14.8</v>
      </c>
      <c r="F146" s="23">
        <v>38.9</v>
      </c>
      <c r="G146" s="24">
        <v>1.4600000000000026</v>
      </c>
      <c r="H146" s="23">
        <v>127</v>
      </c>
      <c r="I146" s="25">
        <v>29.240000000000002</v>
      </c>
      <c r="J146" s="25">
        <f t="shared" si="21"/>
        <v>14.8</v>
      </c>
      <c r="K146" s="25">
        <f t="shared" si="22"/>
        <v>38.9</v>
      </c>
      <c r="L146" s="25">
        <f t="shared" si="23"/>
        <v>1.4600000000000026</v>
      </c>
      <c r="M146" s="25">
        <f t="shared" si="24"/>
        <v>127</v>
      </c>
    </row>
    <row r="147" spans="1:13" ht="15.75" customHeight="1" x14ac:dyDescent="0.5">
      <c r="A147" s="21">
        <v>146</v>
      </c>
      <c r="B147" s="21">
        <f t="shared" si="25"/>
        <v>4</v>
      </c>
      <c r="C147" s="22">
        <f t="shared" si="0"/>
        <v>45141</v>
      </c>
      <c r="D147" s="23">
        <v>31.060000000000002</v>
      </c>
      <c r="E147" s="23">
        <v>1.9</v>
      </c>
      <c r="F147" s="23">
        <v>9</v>
      </c>
      <c r="G147" s="24">
        <v>11.38</v>
      </c>
      <c r="H147" s="23">
        <v>123</v>
      </c>
      <c r="I147" s="25">
        <v>31.060000000000002</v>
      </c>
      <c r="J147" s="25">
        <f t="shared" si="21"/>
        <v>1.9</v>
      </c>
      <c r="K147" s="25">
        <f t="shared" si="22"/>
        <v>9</v>
      </c>
      <c r="L147" s="25">
        <f t="shared" si="23"/>
        <v>11.38</v>
      </c>
      <c r="M147" s="25">
        <f t="shared" si="24"/>
        <v>123</v>
      </c>
    </row>
    <row r="148" spans="1:13" ht="15.75" customHeight="1" x14ac:dyDescent="0.5">
      <c r="A148" s="21">
        <v>147</v>
      </c>
      <c r="B148" s="21">
        <f t="shared" si="25"/>
        <v>5</v>
      </c>
      <c r="C148" s="22">
        <f t="shared" si="0"/>
        <v>45142</v>
      </c>
      <c r="D148" s="23">
        <v>55.019999999999996</v>
      </c>
      <c r="E148" s="23">
        <v>7.3</v>
      </c>
      <c r="F148" s="23">
        <v>8.6999999999999993</v>
      </c>
      <c r="G148" s="24">
        <v>24.179999999999996</v>
      </c>
      <c r="H148" s="23">
        <v>142</v>
      </c>
      <c r="I148" s="25">
        <v>55.019999999999996</v>
      </c>
      <c r="J148" s="25">
        <f t="shared" si="21"/>
        <v>7.3</v>
      </c>
      <c r="K148" s="25">
        <f t="shared" si="22"/>
        <v>8.6999999999999993</v>
      </c>
      <c r="L148" s="25">
        <f t="shared" si="23"/>
        <v>24.179999999999996</v>
      </c>
      <c r="M148" s="25">
        <f t="shared" si="24"/>
        <v>142</v>
      </c>
    </row>
    <row r="149" spans="1:13" ht="15.75" customHeight="1" x14ac:dyDescent="0.5">
      <c r="A149" s="21">
        <v>148</v>
      </c>
      <c r="B149" s="21">
        <f t="shared" si="25"/>
        <v>6</v>
      </c>
      <c r="C149" s="22">
        <f t="shared" si="0"/>
        <v>45143</v>
      </c>
      <c r="D149" s="23">
        <v>50.64</v>
      </c>
      <c r="E149" s="23">
        <v>49</v>
      </c>
      <c r="F149" s="23">
        <v>44.3</v>
      </c>
      <c r="G149" s="24">
        <v>31.1</v>
      </c>
      <c r="H149" s="23">
        <v>265</v>
      </c>
      <c r="I149" s="25">
        <v>50.64</v>
      </c>
      <c r="J149" s="25">
        <f t="shared" si="21"/>
        <v>49</v>
      </c>
      <c r="K149" s="25">
        <f t="shared" si="22"/>
        <v>44.3</v>
      </c>
      <c r="L149" s="25">
        <f t="shared" si="23"/>
        <v>31.1</v>
      </c>
      <c r="M149" s="25">
        <f t="shared" si="24"/>
        <v>265</v>
      </c>
    </row>
    <row r="150" spans="1:13" ht="15.75" customHeight="1" x14ac:dyDescent="0.5">
      <c r="A150" s="21">
        <v>149</v>
      </c>
      <c r="B150" s="21">
        <f t="shared" si="25"/>
        <v>7</v>
      </c>
      <c r="C150" s="22">
        <f t="shared" si="0"/>
        <v>45144</v>
      </c>
      <c r="D150" s="23">
        <v>15.6</v>
      </c>
      <c r="E150" s="23">
        <v>40.299999999999997</v>
      </c>
      <c r="F150" s="23">
        <v>11.9</v>
      </c>
      <c r="G150" s="24">
        <v>19.189999999999998</v>
      </c>
      <c r="H150" s="23">
        <v>110</v>
      </c>
      <c r="I150" s="25">
        <v>15.6</v>
      </c>
      <c r="J150" s="25">
        <f t="shared" si="21"/>
        <v>40.299999999999997</v>
      </c>
      <c r="K150" s="25">
        <f t="shared" si="22"/>
        <v>11.9</v>
      </c>
      <c r="L150" s="25">
        <f t="shared" si="23"/>
        <v>19.189999999999998</v>
      </c>
      <c r="M150" s="25">
        <f t="shared" si="24"/>
        <v>110</v>
      </c>
    </row>
    <row r="151" spans="1:13" ht="15.75" customHeight="1" x14ac:dyDescent="0.5">
      <c r="A151" s="21">
        <v>150</v>
      </c>
      <c r="B151" s="21">
        <f t="shared" si="25"/>
        <v>1</v>
      </c>
      <c r="C151" s="22">
        <f t="shared" si="0"/>
        <v>45145</v>
      </c>
      <c r="D151" s="23">
        <v>164</v>
      </c>
      <c r="E151" s="23">
        <v>25.8</v>
      </c>
      <c r="F151" s="23">
        <v>20.6</v>
      </c>
      <c r="G151" s="24">
        <v>9.1300000000000008</v>
      </c>
      <c r="H151" s="23">
        <v>118</v>
      </c>
      <c r="I151" s="25">
        <v>164</v>
      </c>
      <c r="J151" s="25">
        <f t="shared" si="21"/>
        <v>25.8</v>
      </c>
      <c r="K151" s="25">
        <f t="shared" si="22"/>
        <v>20.6</v>
      </c>
      <c r="L151" s="25">
        <f t="shared" si="23"/>
        <v>9.1300000000000008</v>
      </c>
      <c r="M151" s="25">
        <f t="shared" si="24"/>
        <v>118</v>
      </c>
    </row>
    <row r="152" spans="1:13" ht="15.75" customHeight="1" x14ac:dyDescent="0.5">
      <c r="A152" s="21">
        <v>151</v>
      </c>
      <c r="B152" s="21">
        <f t="shared" si="25"/>
        <v>2</v>
      </c>
      <c r="C152" s="22">
        <f t="shared" si="0"/>
        <v>45146</v>
      </c>
      <c r="D152" s="23">
        <v>66.14</v>
      </c>
      <c r="E152" s="23">
        <v>13.9</v>
      </c>
      <c r="F152" s="23">
        <v>37</v>
      </c>
      <c r="G152" s="24">
        <v>20.220000000000002</v>
      </c>
      <c r="H152" s="23">
        <v>166</v>
      </c>
      <c r="I152" s="25">
        <v>66.14</v>
      </c>
      <c r="J152" s="25">
        <f t="shared" si="21"/>
        <v>13.9</v>
      </c>
      <c r="K152" s="25">
        <f t="shared" si="22"/>
        <v>37</v>
      </c>
      <c r="L152" s="25">
        <f t="shared" si="23"/>
        <v>20.220000000000002</v>
      </c>
      <c r="M152" s="25">
        <f t="shared" si="24"/>
        <v>166</v>
      </c>
    </row>
    <row r="153" spans="1:13" ht="15.75" customHeight="1" x14ac:dyDescent="0.5">
      <c r="A153" s="21">
        <v>152</v>
      </c>
      <c r="B153" s="21">
        <f t="shared" si="25"/>
        <v>3</v>
      </c>
      <c r="C153" s="22">
        <f t="shared" si="0"/>
        <v>45147</v>
      </c>
      <c r="D153" s="23">
        <v>31.2</v>
      </c>
      <c r="E153" s="23">
        <v>8.4</v>
      </c>
      <c r="F153" s="23">
        <v>48.7</v>
      </c>
      <c r="G153" s="24">
        <v>16.819999999999997</v>
      </c>
      <c r="H153" s="23">
        <v>125</v>
      </c>
      <c r="I153" s="25">
        <v>31.2</v>
      </c>
      <c r="J153" s="25">
        <f t="shared" si="21"/>
        <v>8.4</v>
      </c>
      <c r="K153" s="25">
        <f t="shared" si="22"/>
        <v>48.7</v>
      </c>
      <c r="L153" s="25">
        <f t="shared" si="23"/>
        <v>16.819999999999997</v>
      </c>
      <c r="M153" s="25">
        <f t="shared" si="24"/>
        <v>125</v>
      </c>
    </row>
    <row r="154" spans="1:13" ht="15.75" customHeight="1" x14ac:dyDescent="0.5">
      <c r="A154" s="21">
        <v>153</v>
      </c>
      <c r="B154" s="21">
        <f t="shared" si="25"/>
        <v>4</v>
      </c>
      <c r="C154" s="22">
        <f t="shared" si="0"/>
        <v>45148</v>
      </c>
      <c r="D154" s="23">
        <v>40.519999999999996</v>
      </c>
      <c r="E154" s="23">
        <v>23.3</v>
      </c>
      <c r="F154" s="23">
        <v>14.2</v>
      </c>
      <c r="G154" s="24">
        <v>25.729999999999997</v>
      </c>
      <c r="H154" s="23">
        <v>169</v>
      </c>
      <c r="I154" s="25">
        <v>40.519999999999996</v>
      </c>
      <c r="J154" s="25">
        <f t="shared" si="21"/>
        <v>23.3</v>
      </c>
      <c r="K154" s="25">
        <f t="shared" si="22"/>
        <v>14.2</v>
      </c>
      <c r="L154" s="25">
        <f t="shared" si="23"/>
        <v>25.729999999999997</v>
      </c>
      <c r="M154" s="25">
        <f t="shared" si="24"/>
        <v>169</v>
      </c>
    </row>
    <row r="155" spans="1:13" ht="15.75" customHeight="1" x14ac:dyDescent="0.5">
      <c r="A155" s="21">
        <v>154</v>
      </c>
      <c r="B155" s="21">
        <f t="shared" si="25"/>
        <v>5</v>
      </c>
      <c r="C155" s="22">
        <f t="shared" si="0"/>
        <v>45149</v>
      </c>
      <c r="D155" s="23">
        <v>37.260000000000005</v>
      </c>
      <c r="E155" s="23">
        <v>39.700000000000003</v>
      </c>
      <c r="F155" s="23">
        <v>37.700000000000003</v>
      </c>
      <c r="G155" s="24">
        <v>21.900000000000002</v>
      </c>
      <c r="H155" s="23">
        <v>208</v>
      </c>
      <c r="I155" s="25">
        <v>37.260000000000005</v>
      </c>
      <c r="J155" s="25">
        <f t="shared" si="21"/>
        <v>39.700000000000003</v>
      </c>
      <c r="K155" s="25">
        <f t="shared" si="22"/>
        <v>37.700000000000003</v>
      </c>
      <c r="L155" s="25">
        <f t="shared" si="23"/>
        <v>21.900000000000002</v>
      </c>
      <c r="M155" s="25">
        <f t="shared" si="24"/>
        <v>208</v>
      </c>
    </row>
    <row r="156" spans="1:13" ht="15.75" customHeight="1" x14ac:dyDescent="0.5">
      <c r="A156" s="21">
        <v>155</v>
      </c>
      <c r="B156" s="21">
        <f t="shared" si="25"/>
        <v>6</v>
      </c>
      <c r="C156" s="22">
        <f t="shared" si="0"/>
        <v>45150</v>
      </c>
      <c r="D156" s="23">
        <v>43.56</v>
      </c>
      <c r="E156" s="23">
        <v>21.1</v>
      </c>
      <c r="F156" s="23">
        <v>9.5</v>
      </c>
      <c r="G156" s="24">
        <v>25.53</v>
      </c>
      <c r="H156" s="23">
        <v>166</v>
      </c>
      <c r="I156" s="25">
        <v>43.56</v>
      </c>
      <c r="J156" s="25">
        <f t="shared" si="21"/>
        <v>21.1</v>
      </c>
      <c r="K156" s="25">
        <f t="shared" si="22"/>
        <v>9.5</v>
      </c>
      <c r="L156" s="25">
        <f t="shared" si="23"/>
        <v>25.53</v>
      </c>
      <c r="M156" s="25">
        <f t="shared" si="24"/>
        <v>166</v>
      </c>
    </row>
    <row r="157" spans="1:13" ht="15.75" customHeight="1" x14ac:dyDescent="0.5">
      <c r="A157" s="21">
        <v>156</v>
      </c>
      <c r="B157" s="21">
        <f t="shared" si="25"/>
        <v>7</v>
      </c>
      <c r="C157" s="22">
        <f t="shared" si="0"/>
        <v>45151</v>
      </c>
      <c r="D157" s="23">
        <v>9.82</v>
      </c>
      <c r="E157" s="23">
        <v>11.6</v>
      </c>
      <c r="F157" s="23">
        <v>5.7</v>
      </c>
      <c r="G157" s="24">
        <v>92</v>
      </c>
      <c r="H157" s="23">
        <v>35</v>
      </c>
      <c r="I157" s="25">
        <v>9.82</v>
      </c>
      <c r="J157" s="25">
        <f t="shared" si="21"/>
        <v>11.6</v>
      </c>
      <c r="K157" s="25">
        <f t="shared" si="22"/>
        <v>5.7</v>
      </c>
      <c r="L157" s="25">
        <f t="shared" si="23"/>
        <v>92</v>
      </c>
      <c r="M157" s="25">
        <f t="shared" si="24"/>
        <v>35</v>
      </c>
    </row>
    <row r="158" spans="1:13" ht="15.75" customHeight="1" x14ac:dyDescent="0.5">
      <c r="A158" s="21">
        <v>157</v>
      </c>
      <c r="B158" s="21">
        <f t="shared" si="25"/>
        <v>1</v>
      </c>
      <c r="C158" s="22">
        <f t="shared" si="0"/>
        <v>45152</v>
      </c>
      <c r="D158" s="23">
        <v>25.78</v>
      </c>
      <c r="E158" s="23">
        <v>43.5</v>
      </c>
      <c r="F158" s="23">
        <v>50.5</v>
      </c>
      <c r="G158" s="24">
        <v>10.939999999999998</v>
      </c>
      <c r="H158" s="23">
        <v>173</v>
      </c>
      <c r="I158" s="25">
        <v>25.78</v>
      </c>
      <c r="J158" s="25">
        <f t="shared" si="21"/>
        <v>43.5</v>
      </c>
      <c r="K158" s="25">
        <f t="shared" si="22"/>
        <v>50.5</v>
      </c>
      <c r="L158" s="25">
        <f t="shared" si="23"/>
        <v>10.939999999999998</v>
      </c>
      <c r="M158" s="25">
        <f t="shared" si="24"/>
        <v>173</v>
      </c>
    </row>
    <row r="159" spans="1:13" ht="15.75" customHeight="1" x14ac:dyDescent="0.5">
      <c r="A159" s="21">
        <v>158</v>
      </c>
      <c r="B159" s="21">
        <f t="shared" si="25"/>
        <v>2</v>
      </c>
      <c r="C159" s="22">
        <f t="shared" si="0"/>
        <v>45153</v>
      </c>
      <c r="D159" s="23">
        <v>39.96</v>
      </c>
      <c r="E159" s="23">
        <v>1.3</v>
      </c>
      <c r="F159" s="23">
        <v>24.3</v>
      </c>
      <c r="G159" s="24">
        <v>5.91</v>
      </c>
      <c r="H159" s="23">
        <v>111</v>
      </c>
      <c r="I159" s="25">
        <v>39.96</v>
      </c>
      <c r="J159" s="25">
        <f t="shared" si="21"/>
        <v>1.3</v>
      </c>
      <c r="K159" s="25">
        <f t="shared" si="22"/>
        <v>24.3</v>
      </c>
      <c r="L159" s="25">
        <f t="shared" si="23"/>
        <v>5.91</v>
      </c>
      <c r="M159" s="25">
        <f t="shared" si="24"/>
        <v>111</v>
      </c>
    </row>
    <row r="160" spans="1:13" ht="15.75" customHeight="1" x14ac:dyDescent="0.5">
      <c r="A160" s="21">
        <v>159</v>
      </c>
      <c r="B160" s="21">
        <f t="shared" si="25"/>
        <v>3</v>
      </c>
      <c r="C160" s="22">
        <f t="shared" si="0"/>
        <v>45154</v>
      </c>
      <c r="D160" s="23">
        <v>12.34</v>
      </c>
      <c r="E160" s="23">
        <v>36.9</v>
      </c>
      <c r="F160" s="23">
        <v>45.2</v>
      </c>
      <c r="G160" s="24">
        <v>1.5399999999999956</v>
      </c>
      <c r="H160" s="23">
        <v>85</v>
      </c>
      <c r="I160" s="25">
        <v>12.34</v>
      </c>
      <c r="J160" s="25">
        <f t="shared" si="21"/>
        <v>36.9</v>
      </c>
      <c r="K160" s="25">
        <f t="shared" si="22"/>
        <v>45.2</v>
      </c>
      <c r="L160" s="25">
        <f t="shared" si="23"/>
        <v>1.5399999999999956</v>
      </c>
      <c r="M160" s="25">
        <f t="shared" si="24"/>
        <v>85</v>
      </c>
    </row>
    <row r="161" spans="1:13" ht="15.75" customHeight="1" x14ac:dyDescent="0.5">
      <c r="A161" s="21">
        <v>160</v>
      </c>
      <c r="B161" s="21">
        <f t="shared" si="25"/>
        <v>4</v>
      </c>
      <c r="C161" s="22">
        <f t="shared" si="0"/>
        <v>45155</v>
      </c>
      <c r="D161" s="23">
        <v>32.339999999999996</v>
      </c>
      <c r="E161" s="23">
        <v>18.399999999999999</v>
      </c>
      <c r="F161" s="23">
        <v>34.6</v>
      </c>
      <c r="G161" s="24">
        <v>8.5299999999999958</v>
      </c>
      <c r="H161" s="23">
        <v>138</v>
      </c>
      <c r="I161" s="25">
        <v>32.339999999999996</v>
      </c>
      <c r="J161" s="25">
        <f t="shared" si="21"/>
        <v>18.399999999999999</v>
      </c>
      <c r="K161" s="25">
        <f t="shared" si="22"/>
        <v>34.6</v>
      </c>
      <c r="L161" s="25">
        <f t="shared" si="23"/>
        <v>8.5299999999999958</v>
      </c>
      <c r="M161" s="25">
        <f t="shared" si="24"/>
        <v>138</v>
      </c>
    </row>
    <row r="162" spans="1:13" ht="15.75" customHeight="1" x14ac:dyDescent="0.5">
      <c r="A162" s="21">
        <v>161</v>
      </c>
      <c r="B162" s="21">
        <f t="shared" si="25"/>
        <v>5</v>
      </c>
      <c r="C162" s="22">
        <f t="shared" si="0"/>
        <v>45156</v>
      </c>
      <c r="D162" s="23">
        <v>44.5</v>
      </c>
      <c r="E162" s="23">
        <v>18.100000000000001</v>
      </c>
      <c r="F162" s="23">
        <v>30.7</v>
      </c>
      <c r="G162" s="24">
        <v>14.02</v>
      </c>
      <c r="H162" s="23">
        <v>159</v>
      </c>
      <c r="I162" s="25">
        <v>44.5</v>
      </c>
      <c r="J162" s="25">
        <f t="shared" ref="J162:J193" si="26">IF(ISBLANK(E162),U$19,E162)</f>
        <v>18.100000000000001</v>
      </c>
      <c r="K162" s="25">
        <f t="shared" ref="K162:K193" si="27">IF(ISBLANK(F162),U$20,F162)</f>
        <v>30.7</v>
      </c>
      <c r="L162" s="25">
        <f t="shared" ref="L162:L193" si="28">IF(ISBLANK(G162),U$21,G162)</f>
        <v>14.02</v>
      </c>
      <c r="M162" s="25">
        <f t="shared" ref="M162:M193" si="29">IF(ISBLANK(H162),VLOOKUP(B162,$O$1:$P$9,2,TRUE),H162)</f>
        <v>159</v>
      </c>
    </row>
    <row r="163" spans="1:13" ht="15.75" customHeight="1" x14ac:dyDescent="0.5">
      <c r="A163" s="21">
        <v>162</v>
      </c>
      <c r="B163" s="21">
        <f t="shared" si="25"/>
        <v>6</v>
      </c>
      <c r="C163" s="22">
        <f t="shared" si="0"/>
        <v>45157</v>
      </c>
      <c r="D163" s="23">
        <v>19.14</v>
      </c>
      <c r="E163" s="23">
        <v>35.799999999999997</v>
      </c>
      <c r="F163" s="23">
        <v>49.3</v>
      </c>
      <c r="G163" s="24">
        <v>6.75</v>
      </c>
      <c r="H163" s="23">
        <v>151</v>
      </c>
      <c r="I163" s="25">
        <v>19.14</v>
      </c>
      <c r="J163" s="25">
        <f t="shared" si="26"/>
        <v>35.799999999999997</v>
      </c>
      <c r="K163" s="25">
        <f t="shared" si="27"/>
        <v>49.3</v>
      </c>
      <c r="L163" s="25">
        <f t="shared" si="28"/>
        <v>6.75</v>
      </c>
      <c r="M163" s="25">
        <f t="shared" si="29"/>
        <v>151</v>
      </c>
    </row>
    <row r="164" spans="1:13" ht="15.75" customHeight="1" x14ac:dyDescent="0.5">
      <c r="A164" s="21">
        <v>163</v>
      </c>
      <c r="B164" s="21">
        <f t="shared" si="25"/>
        <v>7</v>
      </c>
      <c r="C164" s="22">
        <f t="shared" si="0"/>
        <v>45158</v>
      </c>
      <c r="D164" s="23">
        <v>42.68</v>
      </c>
      <c r="E164" s="23"/>
      <c r="F164" s="23"/>
      <c r="G164" s="24">
        <v>17.649999999999999</v>
      </c>
      <c r="H164" s="23">
        <v>168</v>
      </c>
      <c r="I164" s="25">
        <v>42.68</v>
      </c>
      <c r="J164" s="25">
        <f t="shared" si="26"/>
        <v>23.450000000000003</v>
      </c>
      <c r="K164" s="25">
        <f t="shared" si="27"/>
        <v>25.9</v>
      </c>
      <c r="L164" s="25">
        <f t="shared" si="28"/>
        <v>17.649999999999999</v>
      </c>
      <c r="M164" s="25">
        <f t="shared" si="29"/>
        <v>168</v>
      </c>
    </row>
    <row r="165" spans="1:13" ht="15.75" customHeight="1" x14ac:dyDescent="0.5">
      <c r="A165" s="21">
        <v>164</v>
      </c>
      <c r="B165" s="21">
        <f t="shared" si="25"/>
        <v>1</v>
      </c>
      <c r="C165" s="22">
        <f t="shared" si="0"/>
        <v>45159</v>
      </c>
      <c r="D165" s="23">
        <v>33.700000000000003</v>
      </c>
      <c r="E165" s="23">
        <v>36.799999999999997</v>
      </c>
      <c r="F165" s="23">
        <v>7.4</v>
      </c>
      <c r="G165" s="24">
        <v>31.79</v>
      </c>
      <c r="H165" s="23">
        <v>193</v>
      </c>
      <c r="I165" s="25">
        <v>33.700000000000003</v>
      </c>
      <c r="J165" s="25">
        <f t="shared" si="26"/>
        <v>36.799999999999997</v>
      </c>
      <c r="K165" s="25">
        <f t="shared" si="27"/>
        <v>7.4</v>
      </c>
      <c r="L165" s="25">
        <f t="shared" si="28"/>
        <v>31.79</v>
      </c>
      <c r="M165" s="25">
        <f t="shared" si="29"/>
        <v>193</v>
      </c>
    </row>
    <row r="166" spans="1:13" ht="15.75" customHeight="1" x14ac:dyDescent="0.5">
      <c r="A166" s="21">
        <v>165</v>
      </c>
      <c r="B166" s="21">
        <f t="shared" si="25"/>
        <v>2</v>
      </c>
      <c r="C166" s="22">
        <f t="shared" si="0"/>
        <v>45160</v>
      </c>
      <c r="D166" s="23">
        <v>28.44</v>
      </c>
      <c r="E166" s="23">
        <v>14.7</v>
      </c>
      <c r="F166" s="23">
        <v>5.4</v>
      </c>
      <c r="G166" s="24">
        <v>16.91</v>
      </c>
      <c r="H166" s="23">
        <v>132</v>
      </c>
      <c r="I166" s="25">
        <v>28.44</v>
      </c>
      <c r="J166" s="25">
        <f t="shared" si="26"/>
        <v>14.7</v>
      </c>
      <c r="K166" s="25">
        <f t="shared" si="27"/>
        <v>5.4</v>
      </c>
      <c r="L166" s="25">
        <f t="shared" si="28"/>
        <v>16.91</v>
      </c>
      <c r="M166" s="25">
        <f t="shared" si="29"/>
        <v>132</v>
      </c>
    </row>
    <row r="167" spans="1:13" ht="15.75" customHeight="1" x14ac:dyDescent="0.5">
      <c r="A167" s="21">
        <v>166</v>
      </c>
      <c r="B167" s="21">
        <f t="shared" si="25"/>
        <v>3</v>
      </c>
      <c r="C167" s="22">
        <f t="shared" si="0"/>
        <v>45161</v>
      </c>
      <c r="D167" s="23">
        <v>56.9</v>
      </c>
      <c r="E167" s="23">
        <v>3.4</v>
      </c>
      <c r="F167" s="23">
        <v>84.8</v>
      </c>
      <c r="G167" s="24">
        <v>11.229999999999997</v>
      </c>
      <c r="H167" s="23">
        <v>131</v>
      </c>
      <c r="I167" s="25">
        <v>56.9</v>
      </c>
      <c r="J167" s="25">
        <f t="shared" si="26"/>
        <v>3.4</v>
      </c>
      <c r="K167" s="25">
        <f t="shared" si="27"/>
        <v>84.8</v>
      </c>
      <c r="L167" s="25">
        <f t="shared" si="28"/>
        <v>11.229999999999997</v>
      </c>
      <c r="M167" s="25">
        <f t="shared" si="29"/>
        <v>131</v>
      </c>
    </row>
    <row r="168" spans="1:13" ht="15.75" customHeight="1" x14ac:dyDescent="0.5">
      <c r="A168" s="21">
        <v>167</v>
      </c>
      <c r="B168" s="21">
        <f t="shared" si="25"/>
        <v>4</v>
      </c>
      <c r="C168" s="22">
        <f t="shared" si="0"/>
        <v>45162</v>
      </c>
      <c r="D168" s="23">
        <v>11.58</v>
      </c>
      <c r="E168" s="23">
        <v>37.6</v>
      </c>
      <c r="F168" s="23">
        <v>21.6</v>
      </c>
      <c r="G168" s="24">
        <v>11.95</v>
      </c>
      <c r="H168" s="23">
        <v>90</v>
      </c>
      <c r="I168" s="25">
        <v>11.58</v>
      </c>
      <c r="J168" s="25">
        <f t="shared" si="26"/>
        <v>37.6</v>
      </c>
      <c r="K168" s="25">
        <f t="shared" si="27"/>
        <v>21.6</v>
      </c>
      <c r="L168" s="25">
        <f t="shared" si="28"/>
        <v>11.95</v>
      </c>
      <c r="M168" s="25">
        <f t="shared" si="29"/>
        <v>90</v>
      </c>
    </row>
    <row r="169" spans="1:13" ht="15.75" customHeight="1" x14ac:dyDescent="0.5">
      <c r="A169" s="21">
        <v>168</v>
      </c>
      <c r="B169" s="21">
        <f t="shared" si="25"/>
        <v>5</v>
      </c>
      <c r="C169" s="22">
        <f t="shared" si="0"/>
        <v>45163</v>
      </c>
      <c r="D169" s="23">
        <v>48.36</v>
      </c>
      <c r="E169" s="23">
        <v>5.2</v>
      </c>
      <c r="F169" s="23">
        <v>19.399999999999999</v>
      </c>
      <c r="G169" s="24">
        <v>15.520000000000001</v>
      </c>
      <c r="H169" s="23">
        <v>129</v>
      </c>
      <c r="I169" s="25">
        <v>48.36</v>
      </c>
      <c r="J169" s="25">
        <f t="shared" si="26"/>
        <v>5.2</v>
      </c>
      <c r="K169" s="25">
        <f t="shared" si="27"/>
        <v>19.399999999999999</v>
      </c>
      <c r="L169" s="25">
        <f t="shared" si="28"/>
        <v>15.520000000000001</v>
      </c>
      <c r="M169" s="25">
        <f t="shared" si="29"/>
        <v>129</v>
      </c>
    </row>
    <row r="170" spans="1:13" ht="15.75" customHeight="1" x14ac:dyDescent="0.5">
      <c r="A170" s="21">
        <v>169</v>
      </c>
      <c r="B170" s="21">
        <f t="shared" si="25"/>
        <v>6</v>
      </c>
      <c r="C170" s="22">
        <f t="shared" si="0"/>
        <v>45164</v>
      </c>
      <c r="D170" s="23">
        <v>45.08</v>
      </c>
      <c r="E170" s="23">
        <v>23.6</v>
      </c>
      <c r="F170" s="23">
        <v>57.6</v>
      </c>
      <c r="G170" s="24">
        <v>10.3</v>
      </c>
      <c r="H170" s="23">
        <v>185</v>
      </c>
      <c r="I170" s="25">
        <v>45.08</v>
      </c>
      <c r="J170" s="25">
        <f t="shared" si="26"/>
        <v>23.6</v>
      </c>
      <c r="K170" s="25">
        <f t="shared" si="27"/>
        <v>57.6</v>
      </c>
      <c r="L170" s="25">
        <f t="shared" si="28"/>
        <v>10.3</v>
      </c>
      <c r="M170" s="25">
        <f t="shared" si="29"/>
        <v>185</v>
      </c>
    </row>
    <row r="171" spans="1:13" ht="15.75" customHeight="1" x14ac:dyDescent="0.5">
      <c r="A171" s="21">
        <v>170</v>
      </c>
      <c r="B171" s="21">
        <f t="shared" si="25"/>
        <v>7</v>
      </c>
      <c r="C171" s="22">
        <f t="shared" si="0"/>
        <v>45165</v>
      </c>
      <c r="D171" s="23">
        <v>60.86</v>
      </c>
      <c r="E171" s="23">
        <v>10.6</v>
      </c>
      <c r="F171" s="23">
        <v>6.4</v>
      </c>
      <c r="G171" s="24">
        <v>31.169999999999995</v>
      </c>
      <c r="H171" s="23">
        <v>162</v>
      </c>
      <c r="I171" s="25">
        <v>60.86</v>
      </c>
      <c r="J171" s="25">
        <f t="shared" si="26"/>
        <v>10.6</v>
      </c>
      <c r="K171" s="25">
        <f t="shared" si="27"/>
        <v>6.4</v>
      </c>
      <c r="L171" s="25">
        <f t="shared" si="28"/>
        <v>31.169999999999995</v>
      </c>
      <c r="M171" s="25">
        <f t="shared" si="29"/>
        <v>162</v>
      </c>
    </row>
    <row r="172" spans="1:13" ht="15.75" customHeight="1" x14ac:dyDescent="0.5">
      <c r="A172" s="21">
        <v>171</v>
      </c>
      <c r="B172" s="21">
        <f t="shared" si="25"/>
        <v>1</v>
      </c>
      <c r="C172" s="22">
        <f t="shared" si="0"/>
        <v>45166</v>
      </c>
      <c r="D172" s="23">
        <v>12</v>
      </c>
      <c r="E172" s="23">
        <v>11.6</v>
      </c>
      <c r="F172" s="23">
        <v>18.399999999999999</v>
      </c>
      <c r="G172" s="24">
        <v>3.4400000000000013</v>
      </c>
      <c r="H172" s="23">
        <v>90</v>
      </c>
      <c r="I172" s="25">
        <v>12</v>
      </c>
      <c r="J172" s="25">
        <f t="shared" si="26"/>
        <v>11.6</v>
      </c>
      <c r="K172" s="25">
        <f t="shared" si="27"/>
        <v>18.399999999999999</v>
      </c>
      <c r="L172" s="25">
        <f t="shared" si="28"/>
        <v>3.4400000000000013</v>
      </c>
      <c r="M172" s="25">
        <f t="shared" si="29"/>
        <v>90</v>
      </c>
    </row>
    <row r="173" spans="1:13" ht="15.75" customHeight="1" x14ac:dyDescent="0.5">
      <c r="A173" s="21">
        <v>172</v>
      </c>
      <c r="B173" s="21">
        <f t="shared" si="25"/>
        <v>2</v>
      </c>
      <c r="C173" s="22">
        <f t="shared" si="0"/>
        <v>45167</v>
      </c>
      <c r="D173" s="23">
        <v>42.9</v>
      </c>
      <c r="E173" s="23">
        <v>20.9</v>
      </c>
      <c r="F173" s="23">
        <v>47.4</v>
      </c>
      <c r="G173" s="24">
        <v>7.9399999999999977</v>
      </c>
      <c r="H173" s="23">
        <v>163</v>
      </c>
      <c r="I173" s="25">
        <v>42.9</v>
      </c>
      <c r="J173" s="25">
        <f t="shared" si="26"/>
        <v>20.9</v>
      </c>
      <c r="K173" s="25">
        <f t="shared" si="27"/>
        <v>47.4</v>
      </c>
      <c r="L173" s="25">
        <f t="shared" si="28"/>
        <v>7.9399999999999977</v>
      </c>
      <c r="M173" s="25">
        <f t="shared" si="29"/>
        <v>163</v>
      </c>
    </row>
    <row r="174" spans="1:13" ht="15.75" customHeight="1" x14ac:dyDescent="0.5">
      <c r="A174" s="21">
        <v>173</v>
      </c>
      <c r="B174" s="21">
        <f t="shared" si="25"/>
        <v>3</v>
      </c>
      <c r="C174" s="22">
        <f t="shared" si="0"/>
        <v>45168</v>
      </c>
      <c r="D174" s="23">
        <v>9.92</v>
      </c>
      <c r="E174" s="23">
        <v>20.100000000000001</v>
      </c>
      <c r="F174" s="23">
        <v>17</v>
      </c>
      <c r="G174" s="24">
        <v>5.2100000000000009</v>
      </c>
      <c r="H174" s="23">
        <v>93</v>
      </c>
      <c r="I174" s="25">
        <v>9.92</v>
      </c>
      <c r="J174" s="25">
        <f t="shared" si="26"/>
        <v>20.100000000000001</v>
      </c>
      <c r="K174" s="25">
        <f t="shared" si="27"/>
        <v>17</v>
      </c>
      <c r="L174" s="25">
        <f t="shared" si="28"/>
        <v>5.2100000000000009</v>
      </c>
      <c r="M174" s="25">
        <f t="shared" si="29"/>
        <v>93</v>
      </c>
    </row>
    <row r="175" spans="1:13" ht="15.75" customHeight="1" x14ac:dyDescent="0.5">
      <c r="A175" s="21">
        <v>174</v>
      </c>
      <c r="B175" s="21">
        <f t="shared" si="25"/>
        <v>4</v>
      </c>
      <c r="C175" s="22">
        <f t="shared" si="0"/>
        <v>45169</v>
      </c>
      <c r="D175" s="23">
        <v>36.68</v>
      </c>
      <c r="E175" s="23">
        <v>7.1</v>
      </c>
      <c r="F175" s="23">
        <v>12.8</v>
      </c>
      <c r="G175" s="24">
        <v>15.27</v>
      </c>
      <c r="H175" s="23">
        <v>129</v>
      </c>
      <c r="I175" s="25">
        <v>36.68</v>
      </c>
      <c r="J175" s="25">
        <f t="shared" si="26"/>
        <v>7.1</v>
      </c>
      <c r="K175" s="25">
        <f t="shared" si="27"/>
        <v>12.8</v>
      </c>
      <c r="L175" s="25">
        <f t="shared" si="28"/>
        <v>15.27</v>
      </c>
      <c r="M175" s="25">
        <f t="shared" si="29"/>
        <v>129</v>
      </c>
    </row>
    <row r="176" spans="1:13" ht="15.75" customHeight="1" x14ac:dyDescent="0.5">
      <c r="A176" s="21">
        <v>175</v>
      </c>
      <c r="B176" s="21">
        <f t="shared" si="25"/>
        <v>5</v>
      </c>
      <c r="C176" s="22">
        <f t="shared" si="0"/>
        <v>45170</v>
      </c>
      <c r="D176" s="23">
        <v>53.480000000000004</v>
      </c>
      <c r="E176" s="23">
        <v>3.4</v>
      </c>
      <c r="F176" s="23">
        <v>13.1</v>
      </c>
      <c r="G176" s="24">
        <v>18.700000000000003</v>
      </c>
      <c r="H176" s="23">
        <v>127</v>
      </c>
      <c r="I176" s="25">
        <v>53.480000000000004</v>
      </c>
      <c r="J176" s="25">
        <f t="shared" si="26"/>
        <v>3.4</v>
      </c>
      <c r="K176" s="25">
        <f t="shared" si="27"/>
        <v>13.1</v>
      </c>
      <c r="L176" s="25">
        <f t="shared" si="28"/>
        <v>18.700000000000003</v>
      </c>
      <c r="M176" s="25">
        <f t="shared" si="29"/>
        <v>127</v>
      </c>
    </row>
    <row r="177" spans="1:13" ht="15.75" customHeight="1" x14ac:dyDescent="0.5">
      <c r="A177" s="21">
        <v>176</v>
      </c>
      <c r="B177" s="21">
        <f t="shared" si="25"/>
        <v>6</v>
      </c>
      <c r="C177" s="22">
        <f t="shared" si="0"/>
        <v>45171</v>
      </c>
      <c r="D177" s="23">
        <v>64.38</v>
      </c>
      <c r="E177" s="23">
        <v>48.9</v>
      </c>
      <c r="F177" s="23">
        <v>41.8</v>
      </c>
      <c r="G177" s="24">
        <v>35.42</v>
      </c>
      <c r="H177" s="23">
        <v>271</v>
      </c>
      <c r="I177" s="25">
        <v>64.38</v>
      </c>
      <c r="J177" s="25">
        <f t="shared" si="26"/>
        <v>48.9</v>
      </c>
      <c r="K177" s="25">
        <f t="shared" si="27"/>
        <v>41.8</v>
      </c>
      <c r="L177" s="25">
        <f t="shared" si="28"/>
        <v>35.42</v>
      </c>
      <c r="M177" s="25">
        <f t="shared" si="29"/>
        <v>271</v>
      </c>
    </row>
    <row r="178" spans="1:13" ht="15.75" customHeight="1" x14ac:dyDescent="0.5">
      <c r="A178" s="21">
        <v>177</v>
      </c>
      <c r="B178" s="21">
        <f t="shared" si="25"/>
        <v>7</v>
      </c>
      <c r="C178" s="22">
        <f t="shared" si="0"/>
        <v>45172</v>
      </c>
      <c r="D178" s="23">
        <v>58.68</v>
      </c>
      <c r="E178" s="23">
        <v>30.2</v>
      </c>
      <c r="F178" s="23">
        <v>20.3</v>
      </c>
      <c r="G178" s="24">
        <v>31.819999999999997</v>
      </c>
      <c r="H178" s="23">
        <v>216</v>
      </c>
      <c r="I178" s="25">
        <v>58.68</v>
      </c>
      <c r="J178" s="25">
        <f t="shared" si="26"/>
        <v>30.2</v>
      </c>
      <c r="K178" s="25">
        <f t="shared" si="27"/>
        <v>20.3</v>
      </c>
      <c r="L178" s="25">
        <f t="shared" si="28"/>
        <v>31.819999999999997</v>
      </c>
      <c r="M178" s="25">
        <f t="shared" si="29"/>
        <v>216</v>
      </c>
    </row>
    <row r="179" spans="1:13" ht="15.75" customHeight="1" x14ac:dyDescent="0.5">
      <c r="A179" s="21">
        <v>178</v>
      </c>
      <c r="B179" s="21">
        <f t="shared" si="25"/>
        <v>1</v>
      </c>
      <c r="C179" s="22">
        <f t="shared" si="0"/>
        <v>45173</v>
      </c>
      <c r="D179" s="23">
        <v>40.04</v>
      </c>
      <c r="E179" s="23">
        <v>7.8</v>
      </c>
      <c r="F179" s="23">
        <v>35.200000000000003</v>
      </c>
      <c r="G179" s="24">
        <v>95</v>
      </c>
      <c r="H179" s="23">
        <v>131</v>
      </c>
      <c r="I179" s="25">
        <v>40.04</v>
      </c>
      <c r="J179" s="25">
        <f t="shared" si="26"/>
        <v>7.8</v>
      </c>
      <c r="K179" s="25">
        <f t="shared" si="27"/>
        <v>35.200000000000003</v>
      </c>
      <c r="L179" s="25">
        <f t="shared" si="28"/>
        <v>95</v>
      </c>
      <c r="M179" s="25">
        <f t="shared" si="29"/>
        <v>131</v>
      </c>
    </row>
    <row r="180" spans="1:13" ht="15.75" customHeight="1" x14ac:dyDescent="0.5">
      <c r="A180" s="21">
        <v>179</v>
      </c>
      <c r="B180" s="21">
        <f t="shared" si="25"/>
        <v>2</v>
      </c>
      <c r="C180" s="22">
        <f t="shared" si="0"/>
        <v>45174</v>
      </c>
      <c r="D180" s="23">
        <v>63.339999999999996</v>
      </c>
      <c r="E180" s="23">
        <v>2.2999999999999998</v>
      </c>
      <c r="F180" s="23">
        <v>23.7</v>
      </c>
      <c r="G180" s="24">
        <v>19.339999999999996</v>
      </c>
      <c r="H180" s="23">
        <v>131</v>
      </c>
      <c r="I180" s="25">
        <v>63.339999999999996</v>
      </c>
      <c r="J180" s="25">
        <f t="shared" si="26"/>
        <v>2.2999999999999998</v>
      </c>
      <c r="K180" s="25">
        <f t="shared" si="27"/>
        <v>23.7</v>
      </c>
      <c r="L180" s="25">
        <f t="shared" si="28"/>
        <v>19.339999999999996</v>
      </c>
      <c r="M180" s="25">
        <f t="shared" si="29"/>
        <v>131</v>
      </c>
    </row>
    <row r="181" spans="1:13" ht="15.75" customHeight="1" x14ac:dyDescent="0.5">
      <c r="A181" s="21">
        <v>180</v>
      </c>
      <c r="B181" s="21">
        <f t="shared" si="25"/>
        <v>3</v>
      </c>
      <c r="C181" s="22">
        <f t="shared" si="0"/>
        <v>45175</v>
      </c>
      <c r="D181" s="23">
        <v>41.12</v>
      </c>
      <c r="E181" s="23">
        <v>10</v>
      </c>
      <c r="F181" s="23">
        <v>17.600000000000001</v>
      </c>
      <c r="G181" s="24">
        <v>14.519999999999998</v>
      </c>
      <c r="H181" s="23">
        <v>135</v>
      </c>
      <c r="I181" s="25">
        <v>41.12</v>
      </c>
      <c r="J181" s="25">
        <f t="shared" si="26"/>
        <v>10</v>
      </c>
      <c r="K181" s="25">
        <f t="shared" si="27"/>
        <v>17.600000000000001</v>
      </c>
      <c r="L181" s="25">
        <f t="shared" si="28"/>
        <v>14.519999999999998</v>
      </c>
      <c r="M181" s="25">
        <f t="shared" si="29"/>
        <v>135</v>
      </c>
    </row>
    <row r="182" spans="1:13" ht="15.75" customHeight="1" x14ac:dyDescent="0.5">
      <c r="A182" s="21">
        <v>181</v>
      </c>
      <c r="B182" s="21">
        <f t="shared" si="25"/>
        <v>4</v>
      </c>
      <c r="C182" s="22">
        <f t="shared" si="0"/>
        <v>45176</v>
      </c>
      <c r="D182" s="23">
        <v>36.32</v>
      </c>
      <c r="E182" s="23">
        <v>2.6</v>
      </c>
      <c r="F182" s="23">
        <v>8.3000000000000007</v>
      </c>
      <c r="G182" s="24">
        <v>13.64</v>
      </c>
      <c r="H182" s="23">
        <v>108</v>
      </c>
      <c r="I182" s="25">
        <v>36.32</v>
      </c>
      <c r="J182" s="25">
        <f t="shared" si="26"/>
        <v>2.6</v>
      </c>
      <c r="K182" s="25">
        <f t="shared" si="27"/>
        <v>8.3000000000000007</v>
      </c>
      <c r="L182" s="25">
        <f t="shared" si="28"/>
        <v>13.64</v>
      </c>
      <c r="M182" s="25">
        <f t="shared" si="29"/>
        <v>108</v>
      </c>
    </row>
    <row r="183" spans="1:13" ht="15.75" customHeight="1" x14ac:dyDescent="0.5">
      <c r="A183" s="21">
        <v>182</v>
      </c>
      <c r="B183" s="21">
        <f t="shared" si="25"/>
        <v>5</v>
      </c>
      <c r="C183" s="22">
        <f t="shared" si="0"/>
        <v>45177</v>
      </c>
      <c r="D183" s="23">
        <v>52.7</v>
      </c>
      <c r="E183" s="23">
        <v>5.4</v>
      </c>
      <c r="F183" s="23">
        <v>27.4</v>
      </c>
      <c r="G183" s="24">
        <v>13.59</v>
      </c>
      <c r="H183" s="23">
        <v>124</v>
      </c>
      <c r="I183" s="25">
        <v>52.7</v>
      </c>
      <c r="J183" s="25">
        <f t="shared" si="26"/>
        <v>5.4</v>
      </c>
      <c r="K183" s="25">
        <f t="shared" si="27"/>
        <v>27.4</v>
      </c>
      <c r="L183" s="25">
        <f t="shared" si="28"/>
        <v>13.59</v>
      </c>
      <c r="M183" s="25">
        <f t="shared" si="29"/>
        <v>124</v>
      </c>
    </row>
    <row r="184" spans="1:13" ht="15.75" customHeight="1" x14ac:dyDescent="0.5">
      <c r="A184" s="21">
        <v>183</v>
      </c>
      <c r="B184" s="21">
        <f t="shared" si="25"/>
        <v>6</v>
      </c>
      <c r="C184" s="22">
        <f t="shared" si="0"/>
        <v>45178</v>
      </c>
      <c r="D184" s="23">
        <v>18.240000000000002</v>
      </c>
      <c r="E184" s="23">
        <v>5.7</v>
      </c>
      <c r="F184" s="23">
        <v>29.7</v>
      </c>
      <c r="G184" s="24">
        <v>16.59</v>
      </c>
      <c r="H184" s="23">
        <v>105</v>
      </c>
      <c r="I184" s="25">
        <v>18.240000000000002</v>
      </c>
      <c r="J184" s="25">
        <f t="shared" si="26"/>
        <v>5.7</v>
      </c>
      <c r="K184" s="25">
        <f t="shared" si="27"/>
        <v>29.7</v>
      </c>
      <c r="L184" s="25">
        <f t="shared" si="28"/>
        <v>16.59</v>
      </c>
      <c r="M184" s="25">
        <f t="shared" si="29"/>
        <v>105</v>
      </c>
    </row>
    <row r="185" spans="1:13" ht="15.75" customHeight="1" x14ac:dyDescent="0.5">
      <c r="A185" s="21">
        <v>184</v>
      </c>
      <c r="B185" s="21">
        <f t="shared" si="25"/>
        <v>7</v>
      </c>
      <c r="C185" s="22">
        <f t="shared" si="0"/>
        <v>45179</v>
      </c>
      <c r="D185" s="23">
        <v>65.52000000000001</v>
      </c>
      <c r="E185" s="23">
        <v>43</v>
      </c>
      <c r="F185" s="23">
        <v>71.8</v>
      </c>
      <c r="G185" s="24">
        <v>21.540000000000006</v>
      </c>
      <c r="H185" s="23">
        <v>272</v>
      </c>
      <c r="I185" s="25">
        <v>65.52000000000001</v>
      </c>
      <c r="J185" s="25">
        <f t="shared" si="26"/>
        <v>43</v>
      </c>
      <c r="K185" s="25">
        <f t="shared" si="27"/>
        <v>71.8</v>
      </c>
      <c r="L185" s="25">
        <f t="shared" si="28"/>
        <v>21.540000000000006</v>
      </c>
      <c r="M185" s="25">
        <f t="shared" si="29"/>
        <v>272</v>
      </c>
    </row>
    <row r="186" spans="1:13" ht="15.75" customHeight="1" x14ac:dyDescent="0.5">
      <c r="A186" s="21">
        <v>185</v>
      </c>
      <c r="B186" s="21">
        <f t="shared" si="25"/>
        <v>1</v>
      </c>
      <c r="C186" s="22">
        <f t="shared" si="0"/>
        <v>45180</v>
      </c>
      <c r="D186" s="23">
        <v>58.760000000000005</v>
      </c>
      <c r="E186" s="23">
        <v>21.3</v>
      </c>
      <c r="F186" s="23">
        <v>30</v>
      </c>
      <c r="G186" s="24">
        <v>24.03</v>
      </c>
      <c r="H186" s="23">
        <v>188</v>
      </c>
      <c r="I186" s="25">
        <v>58.760000000000005</v>
      </c>
      <c r="J186" s="25">
        <f t="shared" si="26"/>
        <v>21.3</v>
      </c>
      <c r="K186" s="25">
        <f t="shared" si="27"/>
        <v>30</v>
      </c>
      <c r="L186" s="25">
        <f t="shared" si="28"/>
        <v>24.03</v>
      </c>
      <c r="M186" s="25">
        <f t="shared" si="29"/>
        <v>188</v>
      </c>
    </row>
    <row r="187" spans="1:13" ht="15.75" customHeight="1" x14ac:dyDescent="0.5">
      <c r="A187" s="21">
        <v>186</v>
      </c>
      <c r="B187" s="21">
        <f t="shared" si="25"/>
        <v>2</v>
      </c>
      <c r="C187" s="22">
        <f t="shared" si="0"/>
        <v>45181</v>
      </c>
      <c r="D187" s="23">
        <v>46</v>
      </c>
      <c r="E187" s="23">
        <v>45.1</v>
      </c>
      <c r="F187" s="23">
        <v>19.600000000000001</v>
      </c>
      <c r="G187" s="24">
        <v>35.209999999999994</v>
      </c>
      <c r="H187" s="23">
        <v>228</v>
      </c>
      <c r="I187" s="25">
        <v>46</v>
      </c>
      <c r="J187" s="25">
        <f t="shared" si="26"/>
        <v>45.1</v>
      </c>
      <c r="K187" s="25">
        <f t="shared" si="27"/>
        <v>19.600000000000001</v>
      </c>
      <c r="L187" s="25">
        <f t="shared" si="28"/>
        <v>35.209999999999994</v>
      </c>
      <c r="M187" s="25">
        <f t="shared" si="29"/>
        <v>228</v>
      </c>
    </row>
    <row r="188" spans="1:13" ht="15.75" customHeight="1" x14ac:dyDescent="0.5">
      <c r="A188" s="21">
        <v>187</v>
      </c>
      <c r="B188" s="21">
        <f t="shared" si="25"/>
        <v>3</v>
      </c>
      <c r="C188" s="22">
        <f t="shared" si="0"/>
        <v>45182</v>
      </c>
      <c r="D188" s="23">
        <v>35.9</v>
      </c>
      <c r="E188" s="23">
        <v>2.1</v>
      </c>
      <c r="F188" s="23">
        <v>26.6</v>
      </c>
      <c r="G188" s="24">
        <v>4.3599999999999994</v>
      </c>
      <c r="H188" s="23">
        <v>108</v>
      </c>
      <c r="I188" s="25">
        <v>35.9</v>
      </c>
      <c r="J188" s="25">
        <f t="shared" si="26"/>
        <v>2.1</v>
      </c>
      <c r="K188" s="25">
        <f t="shared" si="27"/>
        <v>26.6</v>
      </c>
      <c r="L188" s="25">
        <f t="shared" si="28"/>
        <v>4.3599999999999994</v>
      </c>
      <c r="M188" s="25">
        <f t="shared" si="29"/>
        <v>108</v>
      </c>
    </row>
    <row r="189" spans="1:13" ht="15.75" customHeight="1" x14ac:dyDescent="0.5">
      <c r="A189" s="21">
        <v>188</v>
      </c>
      <c r="B189" s="21">
        <f t="shared" si="25"/>
        <v>4</v>
      </c>
      <c r="C189" s="22">
        <f t="shared" si="0"/>
        <v>45183</v>
      </c>
      <c r="D189" s="23">
        <v>41.22</v>
      </c>
      <c r="E189" s="23">
        <v>28.7</v>
      </c>
      <c r="F189" s="23">
        <v>18.2</v>
      </c>
      <c r="G189" s="24">
        <v>26.18</v>
      </c>
      <c r="H189" s="23">
        <v>186</v>
      </c>
      <c r="I189" s="25">
        <v>41.22</v>
      </c>
      <c r="J189" s="25">
        <f t="shared" si="26"/>
        <v>28.7</v>
      </c>
      <c r="K189" s="25">
        <f t="shared" si="27"/>
        <v>18.2</v>
      </c>
      <c r="L189" s="25">
        <f t="shared" si="28"/>
        <v>26.18</v>
      </c>
      <c r="M189" s="25">
        <f t="shared" si="29"/>
        <v>186</v>
      </c>
    </row>
    <row r="190" spans="1:13" ht="15.75" customHeight="1" x14ac:dyDescent="0.5">
      <c r="A190" s="21">
        <v>189</v>
      </c>
      <c r="B190" s="21">
        <f t="shared" si="25"/>
        <v>5</v>
      </c>
      <c r="C190" s="22">
        <f t="shared" si="0"/>
        <v>45184</v>
      </c>
      <c r="D190" s="23">
        <v>59.2</v>
      </c>
      <c r="E190" s="23">
        <v>13.9</v>
      </c>
      <c r="F190" s="23">
        <v>3.7</v>
      </c>
      <c r="G190" s="24">
        <v>34.070000000000007</v>
      </c>
      <c r="H190" s="23">
        <v>167</v>
      </c>
      <c r="I190" s="25">
        <v>59.2</v>
      </c>
      <c r="J190" s="25">
        <f t="shared" si="26"/>
        <v>13.9</v>
      </c>
      <c r="K190" s="25">
        <f t="shared" si="27"/>
        <v>3.7</v>
      </c>
      <c r="L190" s="25">
        <f t="shared" si="28"/>
        <v>34.070000000000007</v>
      </c>
      <c r="M190" s="25">
        <f t="shared" si="29"/>
        <v>167</v>
      </c>
    </row>
    <row r="191" spans="1:13" ht="15.75" customHeight="1" x14ac:dyDescent="0.5">
      <c r="A191" s="21">
        <v>190</v>
      </c>
      <c r="B191" s="21">
        <f t="shared" si="25"/>
        <v>6</v>
      </c>
      <c r="C191" s="22">
        <f t="shared" si="0"/>
        <v>45185</v>
      </c>
      <c r="D191" s="23">
        <v>6.74</v>
      </c>
      <c r="E191" s="23">
        <v>12.1</v>
      </c>
      <c r="F191" s="23">
        <v>23.4</v>
      </c>
      <c r="G191" s="24">
        <v>18.560000000000002</v>
      </c>
      <c r="H191" s="23">
        <v>83</v>
      </c>
      <c r="I191" s="25">
        <v>6.74</v>
      </c>
      <c r="J191" s="25">
        <f t="shared" si="26"/>
        <v>12.1</v>
      </c>
      <c r="K191" s="25">
        <f t="shared" si="27"/>
        <v>23.4</v>
      </c>
      <c r="L191" s="25">
        <f t="shared" si="28"/>
        <v>18.560000000000002</v>
      </c>
      <c r="M191" s="25">
        <f t="shared" si="29"/>
        <v>83</v>
      </c>
    </row>
    <row r="192" spans="1:13" ht="15.75" customHeight="1" x14ac:dyDescent="0.5">
      <c r="A192" s="21">
        <v>191</v>
      </c>
      <c r="B192" s="21">
        <f t="shared" si="25"/>
        <v>7</v>
      </c>
      <c r="C192" s="22">
        <f t="shared" si="0"/>
        <v>45186</v>
      </c>
      <c r="D192" s="23">
        <v>15.9</v>
      </c>
      <c r="E192" s="23">
        <v>41.1</v>
      </c>
      <c r="F192" s="23">
        <v>5.8</v>
      </c>
      <c r="G192" s="24">
        <v>22.18</v>
      </c>
      <c r="H192" s="23">
        <v>114</v>
      </c>
      <c r="I192" s="25">
        <v>15.9</v>
      </c>
      <c r="J192" s="25">
        <f t="shared" si="26"/>
        <v>41.1</v>
      </c>
      <c r="K192" s="25">
        <f t="shared" si="27"/>
        <v>5.8</v>
      </c>
      <c r="L192" s="25">
        <f t="shared" si="28"/>
        <v>22.18</v>
      </c>
      <c r="M192" s="25">
        <f t="shared" si="29"/>
        <v>114</v>
      </c>
    </row>
    <row r="193" spans="1:13" ht="15.75" customHeight="1" x14ac:dyDescent="0.5">
      <c r="A193" s="21">
        <v>192</v>
      </c>
      <c r="B193" s="21">
        <f t="shared" si="25"/>
        <v>1</v>
      </c>
      <c r="C193" s="22">
        <f t="shared" si="0"/>
        <v>45187</v>
      </c>
      <c r="D193" s="23">
        <v>21.1</v>
      </c>
      <c r="E193" s="23">
        <v>10.8</v>
      </c>
      <c r="F193" s="23">
        <v>6</v>
      </c>
      <c r="G193" s="24">
        <v>10.549999999999999</v>
      </c>
      <c r="H193" s="23">
        <v>116</v>
      </c>
      <c r="I193" s="25">
        <v>21.1</v>
      </c>
      <c r="J193" s="25">
        <f t="shared" si="26"/>
        <v>10.8</v>
      </c>
      <c r="K193" s="25">
        <f t="shared" si="27"/>
        <v>6</v>
      </c>
      <c r="L193" s="25">
        <f t="shared" si="28"/>
        <v>10.549999999999999</v>
      </c>
      <c r="M193" s="25">
        <f t="shared" si="29"/>
        <v>116</v>
      </c>
    </row>
    <row r="194" spans="1:13" ht="15.75" customHeight="1" x14ac:dyDescent="0.5">
      <c r="A194" s="21">
        <v>193</v>
      </c>
      <c r="B194" s="21">
        <f t="shared" si="25"/>
        <v>2</v>
      </c>
      <c r="C194" s="22">
        <f t="shared" si="0"/>
        <v>45188</v>
      </c>
      <c r="D194" s="23">
        <v>12.44</v>
      </c>
      <c r="E194" s="23">
        <v>4.0999999999999996</v>
      </c>
      <c r="F194" s="23">
        <v>31.6</v>
      </c>
      <c r="G194" s="24">
        <v>11.129999999999999</v>
      </c>
      <c r="H194" s="23">
        <v>62</v>
      </c>
      <c r="I194" s="25">
        <v>12.44</v>
      </c>
      <c r="J194" s="25">
        <f t="shared" ref="J194:J201" si="30">IF(ISBLANK(E194),U$19,E194)</f>
        <v>4.0999999999999996</v>
      </c>
      <c r="K194" s="25">
        <f t="shared" ref="K194:K201" si="31">IF(ISBLANK(F194),U$20,F194)</f>
        <v>31.6</v>
      </c>
      <c r="L194" s="25">
        <f t="shared" ref="L194:L201" si="32">IF(ISBLANK(G194),U$21,G194)</f>
        <v>11.129999999999999</v>
      </c>
      <c r="M194" s="25">
        <f t="shared" ref="M194:M201" si="33">IF(ISBLANK(H194),VLOOKUP(B194,$O$1:$P$9,2,TRUE),H194)</f>
        <v>62</v>
      </c>
    </row>
    <row r="195" spans="1:13" ht="15.75" customHeight="1" x14ac:dyDescent="0.5">
      <c r="A195" s="21">
        <v>194</v>
      </c>
      <c r="B195" s="21">
        <f t="shared" ref="B195:B201" si="34">WEEKDAY(C195,2)</f>
        <v>3</v>
      </c>
      <c r="C195" s="22">
        <f t="shared" si="0"/>
        <v>45189</v>
      </c>
      <c r="D195" s="23">
        <v>41.36</v>
      </c>
      <c r="E195" s="23">
        <v>42</v>
      </c>
      <c r="F195" s="23">
        <v>3.6</v>
      </c>
      <c r="G195" s="24">
        <v>36.24</v>
      </c>
      <c r="H195" s="23">
        <v>204</v>
      </c>
      <c r="I195" s="25">
        <v>41.36</v>
      </c>
      <c r="J195" s="25">
        <f t="shared" si="30"/>
        <v>42</v>
      </c>
      <c r="K195" s="25">
        <f t="shared" si="31"/>
        <v>3.6</v>
      </c>
      <c r="L195" s="25">
        <f t="shared" si="32"/>
        <v>36.24</v>
      </c>
      <c r="M195" s="25">
        <f t="shared" si="33"/>
        <v>204</v>
      </c>
    </row>
    <row r="196" spans="1:13" ht="15.75" customHeight="1" x14ac:dyDescent="0.5">
      <c r="A196" s="21">
        <v>195</v>
      </c>
      <c r="B196" s="21">
        <f t="shared" si="34"/>
        <v>4</v>
      </c>
      <c r="C196" s="22">
        <f t="shared" si="0"/>
        <v>45190</v>
      </c>
      <c r="D196" s="23">
        <v>32.94</v>
      </c>
      <c r="E196" s="23">
        <v>35.6</v>
      </c>
      <c r="F196" s="23">
        <v>6</v>
      </c>
      <c r="G196" s="24"/>
      <c r="H196" s="23">
        <v>184</v>
      </c>
      <c r="I196" s="25">
        <v>32.94</v>
      </c>
      <c r="J196" s="25">
        <f t="shared" si="30"/>
        <v>35.6</v>
      </c>
      <c r="K196" s="25">
        <f t="shared" si="31"/>
        <v>6</v>
      </c>
      <c r="L196" s="25">
        <f t="shared" si="32"/>
        <v>17.100000000000001</v>
      </c>
      <c r="M196" s="25">
        <f t="shared" si="33"/>
        <v>184</v>
      </c>
    </row>
    <row r="197" spans="1:13" ht="15.75" customHeight="1" x14ac:dyDescent="0.5">
      <c r="A197" s="21">
        <v>196</v>
      </c>
      <c r="B197" s="21">
        <f t="shared" si="34"/>
        <v>5</v>
      </c>
      <c r="C197" s="22">
        <f t="shared" si="0"/>
        <v>45191</v>
      </c>
      <c r="D197" s="23">
        <v>14.64</v>
      </c>
      <c r="E197" s="23">
        <v>3.7</v>
      </c>
      <c r="F197" s="23">
        <v>13.8</v>
      </c>
      <c r="G197" s="24">
        <v>0.14999999999999947</v>
      </c>
      <c r="H197" s="23">
        <v>91</v>
      </c>
      <c r="I197" s="25">
        <v>14.64</v>
      </c>
      <c r="J197" s="25">
        <f t="shared" si="30"/>
        <v>3.7</v>
      </c>
      <c r="K197" s="25">
        <f t="shared" si="31"/>
        <v>13.8</v>
      </c>
      <c r="L197" s="25">
        <f t="shared" si="32"/>
        <v>0.14999999999999947</v>
      </c>
      <c r="M197" s="25">
        <f t="shared" si="33"/>
        <v>91</v>
      </c>
    </row>
    <row r="198" spans="1:13" ht="15.75" customHeight="1" x14ac:dyDescent="0.5">
      <c r="A198" s="21">
        <v>197</v>
      </c>
      <c r="B198" s="21">
        <f t="shared" si="34"/>
        <v>6</v>
      </c>
      <c r="C198" s="22">
        <f t="shared" si="0"/>
        <v>45192</v>
      </c>
      <c r="D198" s="23">
        <v>27.84</v>
      </c>
      <c r="E198" s="23">
        <v>4.9000000000000004</v>
      </c>
      <c r="F198" s="23">
        <v>8.1</v>
      </c>
      <c r="G198" s="24">
        <v>8.6300000000000008</v>
      </c>
      <c r="H198" s="23">
        <v>116</v>
      </c>
      <c r="I198" s="25">
        <v>27.84</v>
      </c>
      <c r="J198" s="25">
        <f t="shared" si="30"/>
        <v>4.9000000000000004</v>
      </c>
      <c r="K198" s="25">
        <f t="shared" si="31"/>
        <v>8.1</v>
      </c>
      <c r="L198" s="25">
        <f t="shared" si="32"/>
        <v>8.6300000000000008</v>
      </c>
      <c r="M198" s="25">
        <f t="shared" si="33"/>
        <v>116</v>
      </c>
    </row>
    <row r="199" spans="1:13" ht="15.75" customHeight="1" x14ac:dyDescent="0.5">
      <c r="A199" s="21">
        <v>198</v>
      </c>
      <c r="B199" s="21">
        <f t="shared" si="34"/>
        <v>7</v>
      </c>
      <c r="C199" s="22">
        <f t="shared" si="0"/>
        <v>45193</v>
      </c>
      <c r="D199" s="23">
        <v>44.4</v>
      </c>
      <c r="E199" s="23">
        <v>9.3000000000000007</v>
      </c>
      <c r="F199" s="23">
        <v>6.4</v>
      </c>
      <c r="G199" s="24">
        <v>19.79</v>
      </c>
      <c r="H199" s="23">
        <v>139</v>
      </c>
      <c r="I199" s="25">
        <v>44.4</v>
      </c>
      <c r="J199" s="25">
        <f t="shared" si="30"/>
        <v>9.3000000000000007</v>
      </c>
      <c r="K199" s="25">
        <f t="shared" si="31"/>
        <v>6.4</v>
      </c>
      <c r="L199" s="25">
        <f t="shared" si="32"/>
        <v>19.79</v>
      </c>
      <c r="M199" s="25">
        <f t="shared" si="33"/>
        <v>139</v>
      </c>
    </row>
    <row r="200" spans="1:13" ht="15.75" customHeight="1" x14ac:dyDescent="0.5">
      <c r="A200" s="21">
        <v>199</v>
      </c>
      <c r="B200" s="21">
        <f t="shared" si="34"/>
        <v>1</v>
      </c>
      <c r="C200" s="22">
        <f t="shared" si="0"/>
        <v>45194</v>
      </c>
      <c r="D200" s="23">
        <v>57.720000000000006</v>
      </c>
      <c r="E200" s="23">
        <v>42</v>
      </c>
      <c r="F200" s="23">
        <v>66.2</v>
      </c>
      <c r="G200" s="24">
        <v>22.879999999999995</v>
      </c>
      <c r="H200" s="23">
        <v>235.5</v>
      </c>
      <c r="I200" s="25">
        <v>57.720000000000006</v>
      </c>
      <c r="J200" s="25">
        <f t="shared" si="30"/>
        <v>42</v>
      </c>
      <c r="K200" s="25">
        <f t="shared" si="31"/>
        <v>66.2</v>
      </c>
      <c r="L200" s="25">
        <f t="shared" si="32"/>
        <v>22.879999999999995</v>
      </c>
      <c r="M200" s="25">
        <f t="shared" si="33"/>
        <v>235.5</v>
      </c>
    </row>
    <row r="201" spans="1:13" ht="15.75" customHeight="1" x14ac:dyDescent="0.5">
      <c r="A201" s="21">
        <v>200</v>
      </c>
      <c r="B201" s="21">
        <f t="shared" si="34"/>
        <v>2</v>
      </c>
      <c r="C201" s="22">
        <v>45195</v>
      </c>
      <c r="D201" s="23">
        <v>52.42</v>
      </c>
      <c r="E201" s="23">
        <v>8.6</v>
      </c>
      <c r="F201" s="23">
        <v>8.6999999999999993</v>
      </c>
      <c r="G201" s="24">
        <v>1</v>
      </c>
      <c r="H201" s="23">
        <v>139</v>
      </c>
      <c r="I201" s="25">
        <v>52.42</v>
      </c>
      <c r="J201" s="25">
        <f t="shared" si="30"/>
        <v>8.6</v>
      </c>
      <c r="K201" s="25">
        <f t="shared" si="31"/>
        <v>8.6999999999999993</v>
      </c>
      <c r="L201" s="25">
        <f t="shared" si="32"/>
        <v>1</v>
      </c>
      <c r="M201" s="25">
        <f t="shared" si="33"/>
        <v>139</v>
      </c>
    </row>
    <row r="202" spans="1:13" ht="15.75" customHeight="1" x14ac:dyDescent="0.5"/>
    <row r="203" spans="1:13" ht="15.75" customHeight="1" x14ac:dyDescent="0.5"/>
    <row r="204" spans="1:13" ht="15.75" customHeight="1" x14ac:dyDescent="0.5"/>
    <row r="205" spans="1:13" ht="15.75" customHeight="1" x14ac:dyDescent="0.5"/>
    <row r="206" spans="1:13" ht="15.75" customHeight="1" x14ac:dyDescent="0.5"/>
    <row r="207" spans="1:13" ht="15.75" customHeight="1" x14ac:dyDescent="0.5"/>
    <row r="208" spans="1:13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  <row r="1001" ht="15.75" customHeight="1" x14ac:dyDescent="0.5"/>
    <row r="1002" ht="15.75" customHeight="1" x14ac:dyDescent="0.5"/>
    <row r="1003" ht="15.75" customHeight="1" x14ac:dyDescent="0.5"/>
    <row r="1004" ht="15.75" customHeight="1" x14ac:dyDescent="0.5"/>
    <row r="1005" ht="15.75" customHeight="1" x14ac:dyDescent="0.5"/>
    <row r="1006" ht="15.75" customHeight="1" x14ac:dyDescent="0.5"/>
    <row r="1007" ht="15.75" customHeight="1" x14ac:dyDescent="0.5"/>
    <row r="1008" ht="15.75" customHeight="1" x14ac:dyDescent="0.5"/>
    <row r="1009" ht="15.75" customHeight="1" x14ac:dyDescent="0.5"/>
    <row r="1010" ht="15.75" customHeight="1" x14ac:dyDescent="0.5"/>
    <row r="1011" ht="15.75" customHeight="1" x14ac:dyDescent="0.5"/>
    <row r="1012" ht="15.75" customHeight="1" x14ac:dyDescent="0.5"/>
    <row r="1013" ht="15.75" customHeight="1" x14ac:dyDescent="0.5"/>
    <row r="1014" ht="15.75" customHeight="1" x14ac:dyDescent="0.5"/>
  </sheetData>
  <autoFilter ref="A1:M201" xr:uid="{00000000-0001-0000-0000-000000000000}"/>
  <mergeCells count="1">
    <mergeCell ref="O16:Y16"/>
  </mergeCells>
  <pageMargins left="0.7" right="0.7" top="0.75" bottom="0.75" header="0" footer="0"/>
  <pageSetup orientation="landscape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CDA5-4C83-3747-A4FE-4E130E342A6B}">
  <dimension ref="A1:D1000"/>
  <sheetViews>
    <sheetView showGridLines="0" zoomScale="85" zoomScaleNormal="280" workbookViewId="0">
      <selection activeCell="H26" sqref="H26"/>
    </sheetView>
  </sheetViews>
  <sheetFormatPr defaultColWidth="11.1875" defaultRowHeight="15" customHeight="1" x14ac:dyDescent="0.5"/>
  <cols>
    <col min="1" max="1" width="10.5" customWidth="1"/>
    <col min="2" max="2" width="12.5" customWidth="1"/>
    <col min="3" max="3" width="9.75" bestFit="1" customWidth="1"/>
    <col min="4" max="4" width="15.25" style="4" customWidth="1"/>
    <col min="5" max="22" width="10.5" customWidth="1"/>
  </cols>
  <sheetData>
    <row r="1" spans="1:4" ht="15.75" customHeight="1" x14ac:dyDescent="0.5">
      <c r="A1" s="26" t="s">
        <v>0</v>
      </c>
      <c r="B1" s="26" t="s">
        <v>2</v>
      </c>
      <c r="C1" s="26" t="s">
        <v>5</v>
      </c>
      <c r="D1" s="33" t="s">
        <v>12</v>
      </c>
    </row>
    <row r="2" spans="1:4" ht="15.75" customHeight="1" x14ac:dyDescent="0.5">
      <c r="A2" s="27">
        <v>131</v>
      </c>
      <c r="B2" s="28">
        <v>6</v>
      </c>
      <c r="C2" s="28">
        <v>28</v>
      </c>
      <c r="D2" s="29">
        <f>IF(ISBLANK(B2),AVERAGE(#REF!),B2)</f>
        <v>6</v>
      </c>
    </row>
    <row r="3" spans="1:4" ht="15.75" customHeight="1" x14ac:dyDescent="0.5">
      <c r="A3" s="27">
        <v>156</v>
      </c>
      <c r="B3" s="28">
        <v>9.82</v>
      </c>
      <c r="C3" s="28">
        <v>35</v>
      </c>
      <c r="D3" s="29">
        <f>IF(ISBLANK(B3),AVERAGE(#REF!),B3)</f>
        <v>9.82</v>
      </c>
    </row>
    <row r="4" spans="1:4" ht="15.75" customHeight="1" x14ac:dyDescent="0.5">
      <c r="A4" s="27">
        <v>9</v>
      </c>
      <c r="B4" s="28">
        <v>9.7200000000000006</v>
      </c>
      <c r="C4" s="28">
        <v>54</v>
      </c>
      <c r="D4" s="29">
        <f>IF(ISBLANK(B4),AVERAGE(B1:B7),B4)</f>
        <v>9.7200000000000006</v>
      </c>
    </row>
    <row r="5" spans="1:4" ht="15.75" customHeight="1" x14ac:dyDescent="0.5">
      <c r="A5" s="27">
        <v>109</v>
      </c>
      <c r="B5" s="28">
        <v>9.620000000000001</v>
      </c>
      <c r="C5" s="28">
        <v>54</v>
      </c>
      <c r="D5" s="29">
        <f>IF(ISBLANK(B5),AVERAGE(B2:B8),B5)</f>
        <v>9.620000000000001</v>
      </c>
    </row>
    <row r="6" spans="1:4" ht="15.75" customHeight="1" x14ac:dyDescent="0.5">
      <c r="A6" s="27">
        <v>79</v>
      </c>
      <c r="B6" s="28">
        <v>8.08</v>
      </c>
      <c r="C6" s="28">
        <v>62</v>
      </c>
      <c r="D6" s="29">
        <f>IF(ISBLANK(B6),AVERAGE(B3:B9),B6)</f>
        <v>8.08</v>
      </c>
    </row>
    <row r="7" spans="1:4" ht="15.75" customHeight="1" x14ac:dyDescent="0.5">
      <c r="A7" s="27">
        <v>193</v>
      </c>
      <c r="B7" s="28">
        <v>12.44</v>
      </c>
      <c r="C7" s="28">
        <v>62</v>
      </c>
      <c r="D7" s="29">
        <f t="shared" ref="D7:D48" si="0">IF(ISBLANK(B7),AVERAGE(B4:B10),B7)</f>
        <v>12.44</v>
      </c>
    </row>
    <row r="8" spans="1:4" ht="15.75" customHeight="1" x14ac:dyDescent="0.5">
      <c r="A8" s="27">
        <v>57</v>
      </c>
      <c r="B8" s="28">
        <v>3.46</v>
      </c>
      <c r="C8" s="28">
        <v>71</v>
      </c>
      <c r="D8" s="29">
        <f t="shared" si="0"/>
        <v>3.46</v>
      </c>
    </row>
    <row r="9" spans="1:4" ht="15.75" customHeight="1" x14ac:dyDescent="0.5">
      <c r="A9" s="27">
        <v>133</v>
      </c>
      <c r="B9" s="28">
        <v>5.68</v>
      </c>
      <c r="C9" s="28">
        <v>71</v>
      </c>
      <c r="D9" s="29">
        <f t="shared" si="0"/>
        <v>5.68</v>
      </c>
    </row>
    <row r="10" spans="1:4" ht="15.75" customHeight="1" x14ac:dyDescent="0.5">
      <c r="A10" s="27">
        <v>92</v>
      </c>
      <c r="B10" s="28">
        <v>14.72</v>
      </c>
      <c r="C10" s="28">
        <v>74</v>
      </c>
      <c r="D10" s="29">
        <f t="shared" si="0"/>
        <v>14.72</v>
      </c>
    </row>
    <row r="11" spans="1:4" ht="15.75" customHeight="1" x14ac:dyDescent="0.5">
      <c r="A11" s="27">
        <v>120</v>
      </c>
      <c r="B11" s="28">
        <v>9.879999999999999</v>
      </c>
      <c r="C11" s="28">
        <v>77</v>
      </c>
      <c r="D11" s="29">
        <f t="shared" si="0"/>
        <v>9.879999999999999</v>
      </c>
    </row>
    <row r="12" spans="1:4" ht="15.75" customHeight="1" x14ac:dyDescent="0.5">
      <c r="A12" s="27">
        <v>127</v>
      </c>
      <c r="B12" s="28">
        <v>8.56</v>
      </c>
      <c r="C12" s="28">
        <v>78</v>
      </c>
      <c r="D12" s="29">
        <f t="shared" si="0"/>
        <v>8.56</v>
      </c>
    </row>
    <row r="13" spans="1:4" ht="15.75" customHeight="1" x14ac:dyDescent="0.5">
      <c r="A13" s="27">
        <v>122</v>
      </c>
      <c r="B13" s="28">
        <v>7.76</v>
      </c>
      <c r="C13" s="28">
        <v>81</v>
      </c>
      <c r="D13" s="29">
        <f t="shared" si="0"/>
        <v>7.76</v>
      </c>
    </row>
    <row r="14" spans="1:4" ht="15.75" customHeight="1" x14ac:dyDescent="0.5">
      <c r="A14" s="27">
        <v>61</v>
      </c>
      <c r="B14" s="28">
        <v>16.7</v>
      </c>
      <c r="C14" s="28">
        <v>83</v>
      </c>
      <c r="D14" s="29">
        <f t="shared" si="0"/>
        <v>16.7</v>
      </c>
    </row>
    <row r="15" spans="1:4" ht="15.75" customHeight="1" x14ac:dyDescent="0.5">
      <c r="A15" s="27">
        <v>77</v>
      </c>
      <c r="B15" s="28">
        <v>13.5</v>
      </c>
      <c r="C15" s="28">
        <v>83</v>
      </c>
      <c r="D15" s="29">
        <f t="shared" si="0"/>
        <v>13.5</v>
      </c>
    </row>
    <row r="16" spans="1:4" ht="15.75" customHeight="1" x14ac:dyDescent="0.5">
      <c r="A16" s="27">
        <v>190</v>
      </c>
      <c r="B16" s="28">
        <v>6.74</v>
      </c>
      <c r="C16" s="28">
        <v>83</v>
      </c>
      <c r="D16" s="29">
        <f t="shared" si="0"/>
        <v>6.74</v>
      </c>
    </row>
    <row r="17" spans="1:4" ht="15.75" customHeight="1" x14ac:dyDescent="0.5">
      <c r="A17" s="27">
        <v>159</v>
      </c>
      <c r="B17" s="28">
        <v>12.34</v>
      </c>
      <c r="C17" s="28">
        <v>85</v>
      </c>
      <c r="D17" s="29">
        <f t="shared" si="0"/>
        <v>12.34</v>
      </c>
    </row>
    <row r="18" spans="1:4" ht="15.75" customHeight="1" x14ac:dyDescent="0.5">
      <c r="A18" s="27">
        <v>6</v>
      </c>
      <c r="B18" s="28">
        <v>6.74</v>
      </c>
      <c r="C18" s="28">
        <v>86</v>
      </c>
      <c r="D18" s="29">
        <f t="shared" si="0"/>
        <v>6.74</v>
      </c>
    </row>
    <row r="19" spans="1:4" ht="15.75" customHeight="1" x14ac:dyDescent="0.5">
      <c r="A19" s="27">
        <v>107</v>
      </c>
      <c r="B19" s="28">
        <v>8</v>
      </c>
      <c r="C19" s="28">
        <v>86</v>
      </c>
      <c r="D19" s="29">
        <f t="shared" si="0"/>
        <v>8</v>
      </c>
    </row>
    <row r="20" spans="1:4" ht="15.75" customHeight="1" x14ac:dyDescent="0.5">
      <c r="A20" s="27">
        <v>45</v>
      </c>
      <c r="B20" s="28">
        <v>12.02</v>
      </c>
      <c r="C20" s="28">
        <v>89</v>
      </c>
      <c r="D20" s="29">
        <f t="shared" si="0"/>
        <v>12.02</v>
      </c>
    </row>
    <row r="21" spans="1:4" ht="15.75" customHeight="1" x14ac:dyDescent="0.5">
      <c r="A21" s="27">
        <v>167</v>
      </c>
      <c r="B21" s="28">
        <v>11.58</v>
      </c>
      <c r="C21" s="28">
        <v>90</v>
      </c>
      <c r="D21" s="29">
        <f t="shared" si="0"/>
        <v>11.58</v>
      </c>
    </row>
    <row r="22" spans="1:4" ht="15.75" customHeight="1" x14ac:dyDescent="0.5">
      <c r="A22" s="27">
        <v>171</v>
      </c>
      <c r="B22" s="28">
        <v>12</v>
      </c>
      <c r="C22" s="28">
        <v>90</v>
      </c>
      <c r="D22" s="29">
        <f t="shared" si="0"/>
        <v>12</v>
      </c>
    </row>
    <row r="23" spans="1:4" ht="15.75" customHeight="1" x14ac:dyDescent="0.5">
      <c r="A23" s="27">
        <v>196</v>
      </c>
      <c r="B23" s="28">
        <v>14.64</v>
      </c>
      <c r="C23" s="28">
        <v>91</v>
      </c>
      <c r="D23" s="29">
        <f t="shared" si="0"/>
        <v>14.64</v>
      </c>
    </row>
    <row r="24" spans="1:4" ht="15.75" customHeight="1" x14ac:dyDescent="0.5">
      <c r="A24" s="27">
        <v>35</v>
      </c>
      <c r="B24" s="28">
        <v>24.14</v>
      </c>
      <c r="C24" s="28">
        <v>91.5</v>
      </c>
      <c r="D24" s="29">
        <f t="shared" si="0"/>
        <v>24.14</v>
      </c>
    </row>
    <row r="25" spans="1:4" ht="15.75" customHeight="1" x14ac:dyDescent="0.5">
      <c r="A25" s="27">
        <v>128</v>
      </c>
      <c r="B25" s="28">
        <v>71.06</v>
      </c>
      <c r="C25" s="28">
        <v>92</v>
      </c>
      <c r="D25" s="29">
        <f t="shared" si="0"/>
        <v>71.06</v>
      </c>
    </row>
    <row r="26" spans="1:4" ht="15.75" customHeight="1" x14ac:dyDescent="0.5">
      <c r="A26" s="27">
        <v>91</v>
      </c>
      <c r="B26" s="28">
        <v>31.860000000000003</v>
      </c>
      <c r="C26" s="28">
        <v>93</v>
      </c>
      <c r="D26" s="29">
        <f t="shared" si="0"/>
        <v>31.860000000000003</v>
      </c>
    </row>
    <row r="27" spans="1:4" ht="15.75" customHeight="1" x14ac:dyDescent="0.5">
      <c r="A27" s="27">
        <v>173</v>
      </c>
      <c r="B27" s="28">
        <v>9.92</v>
      </c>
      <c r="C27" s="28">
        <v>93</v>
      </c>
      <c r="D27" s="29">
        <f t="shared" si="0"/>
        <v>9.92</v>
      </c>
    </row>
    <row r="28" spans="1:4" ht="15.75" customHeight="1" x14ac:dyDescent="0.5">
      <c r="A28" s="27">
        <v>11</v>
      </c>
      <c r="B28" s="28">
        <v>23.22</v>
      </c>
      <c r="C28" s="28">
        <v>95</v>
      </c>
      <c r="D28" s="29">
        <f t="shared" si="0"/>
        <v>23.22</v>
      </c>
    </row>
    <row r="29" spans="1:4" ht="15.75" customHeight="1" x14ac:dyDescent="0.5">
      <c r="A29" s="27">
        <v>13</v>
      </c>
      <c r="B29" s="28">
        <v>10.76</v>
      </c>
      <c r="C29" s="28">
        <v>95</v>
      </c>
      <c r="D29" s="29">
        <f t="shared" si="0"/>
        <v>10.76</v>
      </c>
    </row>
    <row r="30" spans="1:4" ht="15.75" customHeight="1" x14ac:dyDescent="0.5">
      <c r="A30" s="27">
        <v>3</v>
      </c>
      <c r="B30" s="28">
        <v>12.44</v>
      </c>
      <c r="C30" s="28">
        <v>96</v>
      </c>
      <c r="D30" s="29">
        <f t="shared" si="0"/>
        <v>12.44</v>
      </c>
    </row>
    <row r="31" spans="1:4" ht="15.75" customHeight="1" x14ac:dyDescent="0.5">
      <c r="A31" s="27">
        <v>137</v>
      </c>
      <c r="B31" s="28">
        <v>10.120000000000001</v>
      </c>
      <c r="C31" s="28">
        <v>98</v>
      </c>
      <c r="D31" s="29">
        <f t="shared" si="0"/>
        <v>10.120000000000001</v>
      </c>
    </row>
    <row r="32" spans="1:4" ht="15.75" customHeight="1" x14ac:dyDescent="0.5">
      <c r="A32" s="27">
        <v>67</v>
      </c>
      <c r="B32" s="28">
        <v>15.3</v>
      </c>
      <c r="C32" s="28">
        <v>104</v>
      </c>
      <c r="D32" s="29">
        <f t="shared" si="0"/>
        <v>15.3</v>
      </c>
    </row>
    <row r="33" spans="1:4" ht="15.75" customHeight="1" x14ac:dyDescent="0.5">
      <c r="A33" s="27">
        <v>108</v>
      </c>
      <c r="B33" s="28">
        <v>27.080000000000002</v>
      </c>
      <c r="C33" s="28">
        <v>104</v>
      </c>
      <c r="D33" s="29">
        <f t="shared" si="0"/>
        <v>27.080000000000002</v>
      </c>
    </row>
    <row r="34" spans="1:4" ht="15.75" customHeight="1" x14ac:dyDescent="0.5">
      <c r="A34" s="27">
        <v>76</v>
      </c>
      <c r="B34" s="28">
        <v>12.379999999999999</v>
      </c>
      <c r="C34" s="28">
        <v>105</v>
      </c>
      <c r="D34" s="29">
        <f t="shared" si="0"/>
        <v>12.379999999999999</v>
      </c>
    </row>
    <row r="35" spans="1:4" ht="15.75" customHeight="1" x14ac:dyDescent="0.5">
      <c r="A35" s="27">
        <v>183</v>
      </c>
      <c r="B35" s="28">
        <v>18.240000000000002</v>
      </c>
      <c r="C35" s="28">
        <v>105</v>
      </c>
      <c r="D35" s="29">
        <f t="shared" si="0"/>
        <v>18.240000000000002</v>
      </c>
    </row>
    <row r="36" spans="1:4" ht="15.75" customHeight="1" x14ac:dyDescent="0.5">
      <c r="A36" s="27">
        <v>73</v>
      </c>
      <c r="B36" s="28">
        <v>15.36</v>
      </c>
      <c r="C36" s="28">
        <v>106</v>
      </c>
      <c r="D36" s="29">
        <f t="shared" si="0"/>
        <v>15.36</v>
      </c>
    </row>
    <row r="37" spans="1:4" ht="15.75" customHeight="1" x14ac:dyDescent="0.5">
      <c r="A37" s="27">
        <v>118</v>
      </c>
      <c r="B37" s="28">
        <v>25.28</v>
      </c>
      <c r="C37" s="28">
        <v>108</v>
      </c>
      <c r="D37" s="29">
        <f t="shared" si="0"/>
        <v>25.28</v>
      </c>
    </row>
    <row r="38" spans="1:4" ht="15.75" customHeight="1" x14ac:dyDescent="0.5">
      <c r="A38" s="27">
        <v>181</v>
      </c>
      <c r="B38" s="28">
        <v>36.32</v>
      </c>
      <c r="C38" s="28">
        <v>108</v>
      </c>
      <c r="D38" s="29">
        <f t="shared" si="0"/>
        <v>36.32</v>
      </c>
    </row>
    <row r="39" spans="1:4" ht="15.75" customHeight="1" x14ac:dyDescent="0.5">
      <c r="A39" s="27">
        <v>187</v>
      </c>
      <c r="B39" s="28">
        <v>35.9</v>
      </c>
      <c r="C39" s="28">
        <v>108</v>
      </c>
      <c r="D39" s="29">
        <f t="shared" si="0"/>
        <v>35.9</v>
      </c>
    </row>
    <row r="40" spans="1:4" ht="15.75" customHeight="1" x14ac:dyDescent="0.5">
      <c r="A40" s="27">
        <v>66</v>
      </c>
      <c r="B40" s="28">
        <v>21.8</v>
      </c>
      <c r="C40" s="28">
        <v>109</v>
      </c>
      <c r="D40" s="29">
        <f t="shared" si="0"/>
        <v>21.8</v>
      </c>
    </row>
    <row r="41" spans="1:4" ht="15.75" customHeight="1" x14ac:dyDescent="0.5">
      <c r="A41" s="27">
        <v>139</v>
      </c>
      <c r="B41" s="28">
        <v>9.6</v>
      </c>
      <c r="C41" s="28">
        <v>109</v>
      </c>
      <c r="D41" s="29">
        <f t="shared" si="0"/>
        <v>9.6</v>
      </c>
    </row>
    <row r="42" spans="1:4" ht="15.75" customHeight="1" x14ac:dyDescent="0.5">
      <c r="A42" s="27">
        <v>25</v>
      </c>
      <c r="B42" s="28">
        <v>20.46</v>
      </c>
      <c r="C42" s="28">
        <v>110</v>
      </c>
      <c r="D42" s="29">
        <f t="shared" si="0"/>
        <v>20.46</v>
      </c>
    </row>
    <row r="43" spans="1:4" ht="15.75" customHeight="1" x14ac:dyDescent="0.5">
      <c r="A43" s="27">
        <v>149</v>
      </c>
      <c r="B43" s="28">
        <v>15.6</v>
      </c>
      <c r="C43" s="28">
        <v>110</v>
      </c>
      <c r="D43" s="29">
        <f t="shared" si="0"/>
        <v>15.6</v>
      </c>
    </row>
    <row r="44" spans="1:4" ht="15.75" customHeight="1" x14ac:dyDescent="0.5">
      <c r="A44" s="27">
        <v>50</v>
      </c>
      <c r="B44" s="28">
        <v>14.38</v>
      </c>
      <c r="C44" s="28">
        <v>111</v>
      </c>
      <c r="D44" s="29">
        <f t="shared" si="0"/>
        <v>14.38</v>
      </c>
    </row>
    <row r="45" spans="1:4" ht="15.75" customHeight="1" x14ac:dyDescent="0.5">
      <c r="A45" s="27">
        <v>158</v>
      </c>
      <c r="B45" s="28">
        <v>39.96</v>
      </c>
      <c r="C45" s="28">
        <v>111</v>
      </c>
      <c r="D45" s="29">
        <f t="shared" si="0"/>
        <v>39.96</v>
      </c>
    </row>
    <row r="46" spans="1:4" ht="15.75" customHeight="1" x14ac:dyDescent="0.5">
      <c r="A46" s="27">
        <v>33</v>
      </c>
      <c r="B46" s="28">
        <v>20.440000000000001</v>
      </c>
      <c r="C46" s="28">
        <v>112</v>
      </c>
      <c r="D46" s="29">
        <f t="shared" si="0"/>
        <v>20.440000000000001</v>
      </c>
    </row>
    <row r="47" spans="1:4" ht="15.75" customHeight="1" x14ac:dyDescent="0.5">
      <c r="A47" s="27">
        <v>52</v>
      </c>
      <c r="B47" s="28">
        <v>29.080000000000002</v>
      </c>
      <c r="C47" s="28">
        <v>112</v>
      </c>
      <c r="D47" s="29">
        <f t="shared" si="0"/>
        <v>29.080000000000002</v>
      </c>
    </row>
    <row r="48" spans="1:4" ht="15.75" customHeight="1" x14ac:dyDescent="0.5">
      <c r="A48" s="27">
        <v>14</v>
      </c>
      <c r="B48" s="28">
        <v>26.5</v>
      </c>
      <c r="C48" s="28">
        <v>113</v>
      </c>
      <c r="D48" s="29">
        <f t="shared" si="0"/>
        <v>26.5</v>
      </c>
    </row>
    <row r="49" spans="1:4" ht="15.75" customHeight="1" x14ac:dyDescent="0.5">
      <c r="A49" s="27">
        <v>141</v>
      </c>
      <c r="B49" s="28"/>
      <c r="C49" s="28">
        <v>113</v>
      </c>
      <c r="D49" s="29">
        <f>IF(ISBLANK(B49),AVERAGE(B46:B52),B49)</f>
        <v>20.910000000000004</v>
      </c>
    </row>
    <row r="50" spans="1:4" ht="15.75" customHeight="1" x14ac:dyDescent="0.5">
      <c r="A50" s="27">
        <v>39</v>
      </c>
      <c r="B50" s="28">
        <v>14.620000000000001</v>
      </c>
      <c r="C50" s="28">
        <v>114</v>
      </c>
      <c r="D50" s="29">
        <f t="shared" ref="D50:D113" si="1">IF(ISBLANK(B50),AVERAGE(B47:B53),B50)</f>
        <v>14.620000000000001</v>
      </c>
    </row>
    <row r="51" spans="1:4" ht="15.75" customHeight="1" x14ac:dyDescent="0.5">
      <c r="A51" s="27">
        <v>191</v>
      </c>
      <c r="B51" s="28">
        <v>15.9</v>
      </c>
      <c r="C51" s="28">
        <v>114</v>
      </c>
      <c r="D51" s="29">
        <f t="shared" si="1"/>
        <v>15.9</v>
      </c>
    </row>
    <row r="52" spans="1:4" ht="15.75" customHeight="1" x14ac:dyDescent="0.5">
      <c r="A52" s="27">
        <v>130</v>
      </c>
      <c r="B52" s="28">
        <v>18.920000000000002</v>
      </c>
      <c r="C52" s="28">
        <v>116</v>
      </c>
      <c r="D52" s="29">
        <f t="shared" si="1"/>
        <v>18.920000000000002</v>
      </c>
    </row>
    <row r="53" spans="1:4" ht="15.75" customHeight="1" x14ac:dyDescent="0.5">
      <c r="A53" s="27">
        <v>192</v>
      </c>
      <c r="B53" s="28">
        <v>21.1</v>
      </c>
      <c r="C53" s="28">
        <v>116</v>
      </c>
      <c r="D53" s="29">
        <f t="shared" si="1"/>
        <v>21.1</v>
      </c>
    </row>
    <row r="54" spans="1:4" ht="15.75" customHeight="1" x14ac:dyDescent="0.5">
      <c r="A54" s="27">
        <v>197</v>
      </c>
      <c r="B54" s="28">
        <v>27.84</v>
      </c>
      <c r="C54" s="28">
        <v>116</v>
      </c>
      <c r="D54" s="29">
        <f t="shared" si="1"/>
        <v>27.84</v>
      </c>
    </row>
    <row r="55" spans="1:4" ht="15.75" customHeight="1" x14ac:dyDescent="0.5">
      <c r="A55" s="27">
        <v>74</v>
      </c>
      <c r="B55" s="28">
        <v>28.880000000000003</v>
      </c>
      <c r="C55" s="28">
        <v>117</v>
      </c>
      <c r="D55" s="29">
        <f t="shared" si="1"/>
        <v>28.880000000000003</v>
      </c>
    </row>
    <row r="56" spans="1:4" ht="15.75" customHeight="1" x14ac:dyDescent="0.5">
      <c r="A56" s="27">
        <v>95</v>
      </c>
      <c r="B56" s="28">
        <v>30.48</v>
      </c>
      <c r="C56" s="28">
        <v>117</v>
      </c>
      <c r="D56" s="29">
        <f t="shared" si="1"/>
        <v>30.48</v>
      </c>
    </row>
    <row r="57" spans="1:4" ht="15.75" customHeight="1" x14ac:dyDescent="0.5">
      <c r="A57" s="27">
        <v>150</v>
      </c>
      <c r="B57" s="28">
        <v>164</v>
      </c>
      <c r="C57" s="28">
        <v>118</v>
      </c>
      <c r="D57" s="29">
        <f t="shared" si="1"/>
        <v>164</v>
      </c>
    </row>
    <row r="58" spans="1:4" ht="15.75" customHeight="1" x14ac:dyDescent="0.5">
      <c r="A58" s="27">
        <v>10</v>
      </c>
      <c r="B58" s="28">
        <v>40.96</v>
      </c>
      <c r="C58" s="28">
        <v>119</v>
      </c>
      <c r="D58" s="29">
        <f t="shared" si="1"/>
        <v>40.96</v>
      </c>
    </row>
    <row r="59" spans="1:4" ht="15.75" customHeight="1" x14ac:dyDescent="0.5">
      <c r="A59" s="27">
        <v>47</v>
      </c>
      <c r="B59" s="28">
        <v>18.940000000000001</v>
      </c>
      <c r="C59" s="28">
        <v>119</v>
      </c>
      <c r="D59" s="29">
        <f t="shared" si="1"/>
        <v>18.940000000000001</v>
      </c>
    </row>
    <row r="60" spans="1:4" ht="15.75" customHeight="1" x14ac:dyDescent="0.5">
      <c r="A60" s="27">
        <v>80</v>
      </c>
      <c r="B60" s="28">
        <v>31.2</v>
      </c>
      <c r="C60" s="28">
        <v>120</v>
      </c>
      <c r="D60" s="29">
        <f t="shared" si="1"/>
        <v>31.2</v>
      </c>
    </row>
    <row r="61" spans="1:4" ht="15.75" customHeight="1" x14ac:dyDescent="0.5">
      <c r="A61" s="27">
        <v>81</v>
      </c>
      <c r="B61" s="28">
        <v>19.28</v>
      </c>
      <c r="C61" s="28">
        <v>120</v>
      </c>
      <c r="D61" s="29">
        <f t="shared" si="1"/>
        <v>19.28</v>
      </c>
    </row>
    <row r="62" spans="1:4" ht="15.75" customHeight="1" x14ac:dyDescent="0.5">
      <c r="A62" s="27">
        <v>2</v>
      </c>
      <c r="B62" s="28">
        <v>10.9</v>
      </c>
      <c r="C62" s="28">
        <v>122</v>
      </c>
      <c r="D62" s="29">
        <f t="shared" si="1"/>
        <v>10.9</v>
      </c>
    </row>
    <row r="63" spans="1:4" ht="15.75" customHeight="1" x14ac:dyDescent="0.5">
      <c r="A63" s="27">
        <v>51</v>
      </c>
      <c r="B63" s="28">
        <v>43.96</v>
      </c>
      <c r="C63" s="28">
        <v>122</v>
      </c>
      <c r="D63" s="29">
        <f t="shared" si="1"/>
        <v>43.96</v>
      </c>
    </row>
    <row r="64" spans="1:4" ht="15.75" customHeight="1" x14ac:dyDescent="0.5">
      <c r="A64" s="27">
        <v>87</v>
      </c>
      <c r="B64" s="28">
        <v>21.259999999999998</v>
      </c>
      <c r="C64" s="28">
        <v>122</v>
      </c>
      <c r="D64" s="29">
        <f t="shared" si="1"/>
        <v>21.259999999999998</v>
      </c>
    </row>
    <row r="65" spans="1:4" ht="15.75" customHeight="1" x14ac:dyDescent="0.5">
      <c r="A65" s="27">
        <v>7</v>
      </c>
      <c r="B65" s="28">
        <v>13.5</v>
      </c>
      <c r="C65" s="28">
        <v>123</v>
      </c>
      <c r="D65" s="29">
        <f t="shared" si="1"/>
        <v>13.5</v>
      </c>
    </row>
    <row r="66" spans="1:4" ht="15.75" customHeight="1" x14ac:dyDescent="0.5">
      <c r="A66" s="27">
        <v>30</v>
      </c>
      <c r="B66" s="28">
        <v>15.12</v>
      </c>
      <c r="C66" s="28">
        <v>123</v>
      </c>
      <c r="D66" s="29">
        <f t="shared" si="1"/>
        <v>15.12</v>
      </c>
    </row>
    <row r="67" spans="1:4" ht="15.75" customHeight="1" x14ac:dyDescent="0.5">
      <c r="A67" s="27">
        <v>146</v>
      </c>
      <c r="B67" s="28">
        <v>31.060000000000002</v>
      </c>
      <c r="C67" s="28">
        <v>123</v>
      </c>
      <c r="D67" s="29">
        <f t="shared" si="1"/>
        <v>31.060000000000002</v>
      </c>
    </row>
    <row r="68" spans="1:4" ht="15.75" customHeight="1" x14ac:dyDescent="0.5">
      <c r="A68" s="27">
        <v>135</v>
      </c>
      <c r="B68" s="28">
        <v>14.379999999999999</v>
      </c>
      <c r="C68" s="28">
        <v>124</v>
      </c>
      <c r="D68" s="29">
        <f t="shared" si="1"/>
        <v>14.379999999999999</v>
      </c>
    </row>
    <row r="69" spans="1:4" ht="15.75" customHeight="1" x14ac:dyDescent="0.5">
      <c r="A69" s="27">
        <v>136</v>
      </c>
      <c r="B69" s="28">
        <v>14.66</v>
      </c>
      <c r="C69" s="28">
        <v>124</v>
      </c>
      <c r="D69" s="29">
        <f t="shared" si="1"/>
        <v>14.66</v>
      </c>
    </row>
    <row r="70" spans="1:4" ht="15.75" customHeight="1" x14ac:dyDescent="0.5">
      <c r="A70" s="27">
        <v>182</v>
      </c>
      <c r="B70" s="28">
        <v>52.7</v>
      </c>
      <c r="C70" s="28">
        <v>124</v>
      </c>
      <c r="D70" s="29">
        <f t="shared" si="1"/>
        <v>52.7</v>
      </c>
    </row>
    <row r="71" spans="1:4" ht="15.75" customHeight="1" x14ac:dyDescent="0.5">
      <c r="A71" s="27">
        <v>123</v>
      </c>
      <c r="B71" s="28">
        <v>45.8</v>
      </c>
      <c r="C71" s="28">
        <v>125</v>
      </c>
      <c r="D71" s="29">
        <f t="shared" si="1"/>
        <v>45.8</v>
      </c>
    </row>
    <row r="72" spans="1:4" ht="15.75" customHeight="1" x14ac:dyDescent="0.5">
      <c r="A72" s="27">
        <v>152</v>
      </c>
      <c r="B72" s="28">
        <v>31.2</v>
      </c>
      <c r="C72" s="28">
        <v>125</v>
      </c>
      <c r="D72" s="29">
        <f t="shared" si="1"/>
        <v>31.2</v>
      </c>
    </row>
    <row r="73" spans="1:4" ht="15.75" customHeight="1" x14ac:dyDescent="0.5">
      <c r="A73" s="27">
        <v>32</v>
      </c>
      <c r="B73" s="28">
        <v>92.987500000000011</v>
      </c>
      <c r="C73" s="28">
        <v>126</v>
      </c>
      <c r="D73" s="29">
        <f t="shared" si="1"/>
        <v>92.987500000000011</v>
      </c>
    </row>
    <row r="74" spans="1:4" ht="15.75" customHeight="1" x14ac:dyDescent="0.5">
      <c r="A74" s="27">
        <v>126</v>
      </c>
      <c r="B74" s="28">
        <v>18.440000000000001</v>
      </c>
      <c r="C74" s="28">
        <v>126</v>
      </c>
      <c r="D74" s="29">
        <f t="shared" si="1"/>
        <v>18.440000000000001</v>
      </c>
    </row>
    <row r="75" spans="1:4" ht="15.75" customHeight="1" x14ac:dyDescent="0.5">
      <c r="A75" s="27">
        <v>19</v>
      </c>
      <c r="B75" s="28">
        <v>14.84</v>
      </c>
      <c r="C75" s="28">
        <v>127</v>
      </c>
      <c r="D75" s="29">
        <f t="shared" si="1"/>
        <v>14.84</v>
      </c>
    </row>
    <row r="76" spans="1:4" ht="15.75" customHeight="1" x14ac:dyDescent="0.5">
      <c r="A76" s="27">
        <v>22</v>
      </c>
      <c r="B76" s="28">
        <v>48.480000000000004</v>
      </c>
      <c r="C76" s="28">
        <v>127</v>
      </c>
      <c r="D76" s="29">
        <f t="shared" si="1"/>
        <v>48.480000000000004</v>
      </c>
    </row>
    <row r="77" spans="1:4" ht="15.75" customHeight="1" x14ac:dyDescent="0.5">
      <c r="A77" s="27">
        <v>145</v>
      </c>
      <c r="B77" s="28">
        <v>29.240000000000002</v>
      </c>
      <c r="C77" s="28">
        <v>127</v>
      </c>
      <c r="D77" s="29">
        <f t="shared" si="1"/>
        <v>29.240000000000002</v>
      </c>
    </row>
    <row r="78" spans="1:4" ht="15.75" customHeight="1" x14ac:dyDescent="0.5">
      <c r="A78" s="27">
        <v>175</v>
      </c>
      <c r="B78" s="28">
        <v>53.480000000000004</v>
      </c>
      <c r="C78" s="28">
        <v>127</v>
      </c>
      <c r="D78" s="29">
        <f t="shared" si="1"/>
        <v>53.480000000000004</v>
      </c>
    </row>
    <row r="79" spans="1:4" ht="15.75" customHeight="1" x14ac:dyDescent="0.5">
      <c r="A79" s="27">
        <v>82</v>
      </c>
      <c r="B79" s="28">
        <v>151.96</v>
      </c>
      <c r="C79" s="28">
        <v>128</v>
      </c>
      <c r="D79" s="29">
        <f t="shared" si="1"/>
        <v>151.96</v>
      </c>
    </row>
    <row r="80" spans="1:4" ht="15.75" customHeight="1" x14ac:dyDescent="0.5">
      <c r="A80" s="27">
        <v>83</v>
      </c>
      <c r="B80" s="28">
        <v>18.059999999999999</v>
      </c>
      <c r="C80" s="28">
        <v>128</v>
      </c>
      <c r="D80" s="29">
        <f t="shared" si="1"/>
        <v>18.059999999999999</v>
      </c>
    </row>
    <row r="81" spans="1:4" ht="15.75" customHeight="1" x14ac:dyDescent="0.5">
      <c r="A81" s="27">
        <v>36</v>
      </c>
      <c r="B81" s="28">
        <v>62.14</v>
      </c>
      <c r="C81" s="28">
        <v>129</v>
      </c>
      <c r="D81" s="29">
        <f t="shared" si="1"/>
        <v>62.14</v>
      </c>
    </row>
    <row r="82" spans="1:4" ht="15.75" customHeight="1" x14ac:dyDescent="0.5">
      <c r="A82" s="27">
        <v>72</v>
      </c>
      <c r="B82" s="28">
        <v>29.96</v>
      </c>
      <c r="C82" s="28">
        <v>129</v>
      </c>
      <c r="D82" s="29">
        <f t="shared" si="1"/>
        <v>29.96</v>
      </c>
    </row>
    <row r="83" spans="1:4" ht="15.75" customHeight="1" x14ac:dyDescent="0.5">
      <c r="A83" s="27">
        <v>117</v>
      </c>
      <c r="B83" s="28">
        <v>37.839999999999996</v>
      </c>
      <c r="C83" s="28">
        <v>129</v>
      </c>
      <c r="D83" s="29">
        <f t="shared" si="1"/>
        <v>37.839999999999996</v>
      </c>
    </row>
    <row r="84" spans="1:4" ht="15.75" customHeight="1" x14ac:dyDescent="0.5">
      <c r="A84" s="27">
        <v>168</v>
      </c>
      <c r="B84" s="28">
        <v>48.36</v>
      </c>
      <c r="C84" s="28">
        <v>129</v>
      </c>
      <c r="D84" s="29">
        <f t="shared" si="1"/>
        <v>48.36</v>
      </c>
    </row>
    <row r="85" spans="1:4" ht="15.75" customHeight="1" x14ac:dyDescent="0.5">
      <c r="A85" s="27">
        <v>174</v>
      </c>
      <c r="B85" s="28">
        <v>36.68</v>
      </c>
      <c r="C85" s="28">
        <v>129</v>
      </c>
      <c r="D85" s="29">
        <f t="shared" si="1"/>
        <v>36.68</v>
      </c>
    </row>
    <row r="86" spans="1:4" ht="15.75" customHeight="1" x14ac:dyDescent="0.5">
      <c r="A86" s="27">
        <v>166</v>
      </c>
      <c r="B86" s="28">
        <v>56.9</v>
      </c>
      <c r="C86" s="28">
        <v>131</v>
      </c>
      <c r="D86" s="29">
        <f t="shared" si="1"/>
        <v>56.9</v>
      </c>
    </row>
    <row r="87" spans="1:4" ht="15.75" customHeight="1" x14ac:dyDescent="0.5">
      <c r="A87" s="27">
        <v>178</v>
      </c>
      <c r="B87" s="28">
        <v>40.04</v>
      </c>
      <c r="C87" s="28">
        <v>131</v>
      </c>
      <c r="D87" s="29">
        <f t="shared" si="1"/>
        <v>40.04</v>
      </c>
    </row>
    <row r="88" spans="1:4" ht="15.75" customHeight="1" x14ac:dyDescent="0.5">
      <c r="A88" s="27">
        <v>179</v>
      </c>
      <c r="B88" s="28">
        <v>63.339999999999996</v>
      </c>
      <c r="C88" s="28">
        <v>131</v>
      </c>
      <c r="D88" s="29">
        <f t="shared" si="1"/>
        <v>63.339999999999996</v>
      </c>
    </row>
    <row r="89" spans="1:4" ht="15.75" customHeight="1" x14ac:dyDescent="0.5">
      <c r="A89" s="27">
        <v>97</v>
      </c>
      <c r="B89" s="28">
        <v>46.519999999999996</v>
      </c>
      <c r="C89" s="28">
        <v>132</v>
      </c>
      <c r="D89" s="29">
        <f t="shared" si="1"/>
        <v>46.519999999999996</v>
      </c>
    </row>
    <row r="90" spans="1:4" ht="15.75" customHeight="1" x14ac:dyDescent="0.5">
      <c r="A90" s="27">
        <v>165</v>
      </c>
      <c r="B90" s="28">
        <v>28.44</v>
      </c>
      <c r="C90" s="28">
        <v>132</v>
      </c>
      <c r="D90" s="29">
        <f t="shared" si="1"/>
        <v>28.44</v>
      </c>
    </row>
    <row r="91" spans="1:4" ht="15.75" customHeight="1" x14ac:dyDescent="0.5">
      <c r="A91" s="27">
        <v>58</v>
      </c>
      <c r="B91" s="28">
        <v>33.239999999999995</v>
      </c>
      <c r="C91" s="28">
        <v>133</v>
      </c>
      <c r="D91" s="29">
        <f t="shared" si="1"/>
        <v>33.239999999999995</v>
      </c>
    </row>
    <row r="92" spans="1:4" ht="15.75" customHeight="1" x14ac:dyDescent="0.5">
      <c r="A92" s="27">
        <v>116</v>
      </c>
      <c r="B92" s="28">
        <v>24.02</v>
      </c>
      <c r="C92" s="28">
        <v>133</v>
      </c>
      <c r="D92" s="29">
        <f t="shared" si="1"/>
        <v>24.02</v>
      </c>
    </row>
    <row r="93" spans="1:4" ht="15.75" customHeight="1" x14ac:dyDescent="0.5">
      <c r="A93" s="27">
        <v>17</v>
      </c>
      <c r="B93" s="28">
        <v>89.06</v>
      </c>
      <c r="C93" s="28">
        <v>135</v>
      </c>
      <c r="D93" s="29">
        <f t="shared" si="1"/>
        <v>89.06</v>
      </c>
    </row>
    <row r="94" spans="1:4" ht="15.75" customHeight="1" x14ac:dyDescent="0.5">
      <c r="A94" s="27">
        <v>68</v>
      </c>
      <c r="B94" s="28">
        <v>30.860000000000003</v>
      </c>
      <c r="C94" s="28">
        <v>135</v>
      </c>
      <c r="D94" s="29">
        <f t="shared" si="1"/>
        <v>30.860000000000003</v>
      </c>
    </row>
    <row r="95" spans="1:4" ht="15.75" customHeight="1" x14ac:dyDescent="0.5">
      <c r="A95" s="27">
        <v>180</v>
      </c>
      <c r="B95" s="28">
        <v>41.12</v>
      </c>
      <c r="C95" s="28">
        <v>135</v>
      </c>
      <c r="D95" s="29">
        <f t="shared" si="1"/>
        <v>41.12</v>
      </c>
    </row>
    <row r="96" spans="1:4" ht="15.75" customHeight="1" x14ac:dyDescent="0.5">
      <c r="A96" s="27">
        <v>5</v>
      </c>
      <c r="B96" s="28">
        <v>46.160000000000004</v>
      </c>
      <c r="C96" s="28">
        <v>137</v>
      </c>
      <c r="D96" s="29">
        <f t="shared" si="1"/>
        <v>46.160000000000004</v>
      </c>
    </row>
    <row r="97" spans="1:4" ht="15.75" customHeight="1" x14ac:dyDescent="0.5">
      <c r="A97" s="27">
        <v>101</v>
      </c>
      <c r="B97" s="28">
        <v>51.480000000000004</v>
      </c>
      <c r="C97" s="28">
        <v>137</v>
      </c>
      <c r="D97" s="29">
        <f t="shared" si="1"/>
        <v>51.480000000000004</v>
      </c>
    </row>
    <row r="98" spans="1:4" ht="15.75" customHeight="1" x14ac:dyDescent="0.5">
      <c r="A98" s="27">
        <v>160</v>
      </c>
      <c r="B98" s="28">
        <v>32.339999999999996</v>
      </c>
      <c r="C98" s="28">
        <v>138</v>
      </c>
      <c r="D98" s="29">
        <f t="shared" si="1"/>
        <v>32.339999999999996</v>
      </c>
    </row>
    <row r="99" spans="1:4" ht="15.75" customHeight="1" x14ac:dyDescent="0.5">
      <c r="A99" s="27">
        <v>26</v>
      </c>
      <c r="B99" s="28">
        <v>59.58</v>
      </c>
      <c r="C99" s="28">
        <v>139</v>
      </c>
      <c r="D99" s="29">
        <f t="shared" si="1"/>
        <v>59.58</v>
      </c>
    </row>
    <row r="100" spans="1:4" ht="15.75" customHeight="1" x14ac:dyDescent="0.5">
      <c r="A100" s="27">
        <v>198</v>
      </c>
      <c r="B100" s="28">
        <v>44.4</v>
      </c>
      <c r="C100" s="28">
        <v>139</v>
      </c>
      <c r="D100" s="29">
        <f t="shared" si="1"/>
        <v>44.4</v>
      </c>
    </row>
    <row r="101" spans="1:4" ht="15.75" customHeight="1" x14ac:dyDescent="0.5">
      <c r="A101" s="27">
        <v>200</v>
      </c>
      <c r="B101" s="28">
        <v>52.42</v>
      </c>
      <c r="C101" s="28">
        <v>139</v>
      </c>
      <c r="D101" s="29">
        <f t="shared" si="1"/>
        <v>52.42</v>
      </c>
    </row>
    <row r="102" spans="1:4" ht="15.75" customHeight="1" x14ac:dyDescent="0.5">
      <c r="A102" s="27">
        <v>147</v>
      </c>
      <c r="B102" s="28">
        <v>55.019999999999996</v>
      </c>
      <c r="C102" s="28">
        <v>142</v>
      </c>
      <c r="D102" s="29">
        <f t="shared" si="1"/>
        <v>55.019999999999996</v>
      </c>
    </row>
    <row r="103" spans="1:4" ht="15.75" customHeight="1" x14ac:dyDescent="0.5">
      <c r="A103" s="27">
        <v>89</v>
      </c>
      <c r="B103" s="28">
        <v>27.66</v>
      </c>
      <c r="C103" s="28">
        <v>147</v>
      </c>
      <c r="D103" s="29">
        <f t="shared" si="1"/>
        <v>27.66</v>
      </c>
    </row>
    <row r="104" spans="1:4" ht="15.75" customHeight="1" x14ac:dyDescent="0.5">
      <c r="A104" s="27">
        <v>132</v>
      </c>
      <c r="B104" s="28">
        <v>55.04</v>
      </c>
      <c r="C104" s="28">
        <v>147</v>
      </c>
      <c r="D104" s="29">
        <f t="shared" si="1"/>
        <v>55.04</v>
      </c>
    </row>
    <row r="105" spans="1:4" ht="15.75" customHeight="1" x14ac:dyDescent="0.5">
      <c r="A105" s="27">
        <v>20</v>
      </c>
      <c r="B105" s="28">
        <v>32.46</v>
      </c>
      <c r="C105" s="28">
        <v>148</v>
      </c>
      <c r="D105" s="29">
        <f t="shared" si="1"/>
        <v>32.46</v>
      </c>
    </row>
    <row r="106" spans="1:4" ht="15.75" customHeight="1" x14ac:dyDescent="0.5">
      <c r="A106" s="27">
        <v>44</v>
      </c>
      <c r="B106" s="28">
        <v>51.38</v>
      </c>
      <c r="C106" s="28">
        <v>149</v>
      </c>
      <c r="D106" s="29">
        <f t="shared" si="1"/>
        <v>51.38</v>
      </c>
    </row>
    <row r="107" spans="1:4" ht="15.75" customHeight="1" x14ac:dyDescent="0.5">
      <c r="A107" s="27">
        <v>49</v>
      </c>
      <c r="B107" s="28">
        <v>46.44</v>
      </c>
      <c r="C107" s="28">
        <v>149</v>
      </c>
      <c r="D107" s="29">
        <f t="shared" si="1"/>
        <v>46.44</v>
      </c>
    </row>
    <row r="108" spans="1:4" ht="15.75" customHeight="1" x14ac:dyDescent="0.5">
      <c r="A108" s="27">
        <v>78</v>
      </c>
      <c r="B108" s="28">
        <v>25.1</v>
      </c>
      <c r="C108" s="28">
        <v>149</v>
      </c>
      <c r="D108" s="29">
        <f t="shared" si="1"/>
        <v>25.1</v>
      </c>
    </row>
    <row r="109" spans="1:4" ht="15.75" customHeight="1" x14ac:dyDescent="0.5">
      <c r="A109" s="27">
        <v>84</v>
      </c>
      <c r="B109" s="28">
        <v>22.68</v>
      </c>
      <c r="C109" s="28">
        <v>149</v>
      </c>
      <c r="D109" s="29">
        <f t="shared" si="1"/>
        <v>22.68</v>
      </c>
    </row>
    <row r="110" spans="1:4" ht="15.75" customHeight="1" x14ac:dyDescent="0.5">
      <c r="A110" s="27">
        <v>111</v>
      </c>
      <c r="B110" s="28">
        <v>54.160000000000004</v>
      </c>
      <c r="C110" s="28">
        <v>150</v>
      </c>
      <c r="D110" s="29">
        <f t="shared" si="1"/>
        <v>54.160000000000004</v>
      </c>
    </row>
    <row r="111" spans="1:4" ht="15.75" customHeight="1" x14ac:dyDescent="0.5">
      <c r="A111" s="27">
        <v>162</v>
      </c>
      <c r="B111" s="28">
        <v>19.14</v>
      </c>
      <c r="C111" s="28">
        <v>151</v>
      </c>
      <c r="D111" s="29">
        <f t="shared" si="1"/>
        <v>19.14</v>
      </c>
    </row>
    <row r="112" spans="1:4" ht="15.75" customHeight="1" x14ac:dyDescent="0.5">
      <c r="A112" s="27">
        <v>12</v>
      </c>
      <c r="B112" s="28">
        <v>50.94</v>
      </c>
      <c r="C112" s="28">
        <v>151.5</v>
      </c>
      <c r="D112" s="29">
        <f t="shared" si="1"/>
        <v>50.94</v>
      </c>
    </row>
    <row r="113" spans="1:4" ht="15.75" customHeight="1" x14ac:dyDescent="0.5">
      <c r="A113" s="27">
        <v>8</v>
      </c>
      <c r="B113" s="28">
        <v>31.04</v>
      </c>
      <c r="C113" s="28">
        <v>152</v>
      </c>
      <c r="D113" s="29">
        <f t="shared" si="1"/>
        <v>31.04</v>
      </c>
    </row>
    <row r="114" spans="1:4" ht="15.75" customHeight="1" x14ac:dyDescent="0.5">
      <c r="A114" s="27">
        <v>38</v>
      </c>
      <c r="B114" s="28">
        <v>24.94</v>
      </c>
      <c r="C114" s="28">
        <v>152</v>
      </c>
      <c r="D114" s="29">
        <f t="shared" ref="D114:D177" si="2">IF(ISBLANK(B114),AVERAGE(B111:B117),B114)</f>
        <v>24.94</v>
      </c>
    </row>
    <row r="115" spans="1:4" ht="15.75" customHeight="1" x14ac:dyDescent="0.5">
      <c r="A115" s="27">
        <v>115</v>
      </c>
      <c r="B115" s="28">
        <v>18.64</v>
      </c>
      <c r="C115" s="28">
        <v>152</v>
      </c>
      <c r="D115" s="29">
        <f t="shared" si="2"/>
        <v>18.64</v>
      </c>
    </row>
    <row r="116" spans="1:4" ht="15.75" customHeight="1" x14ac:dyDescent="0.5">
      <c r="A116" s="27">
        <v>103</v>
      </c>
      <c r="B116" s="28">
        <v>64.039999999999992</v>
      </c>
      <c r="C116" s="28">
        <v>158</v>
      </c>
      <c r="D116" s="29">
        <f t="shared" si="2"/>
        <v>64.039999999999992</v>
      </c>
    </row>
    <row r="117" spans="1:4" ht="15.75" customHeight="1" x14ac:dyDescent="0.5">
      <c r="A117" s="27">
        <v>86</v>
      </c>
      <c r="B117" s="28">
        <v>42.64</v>
      </c>
      <c r="C117" s="28">
        <v>159</v>
      </c>
      <c r="D117" s="29">
        <f t="shared" si="2"/>
        <v>42.64</v>
      </c>
    </row>
    <row r="118" spans="1:4" ht="15.75" customHeight="1" x14ac:dyDescent="0.5">
      <c r="A118" s="27">
        <v>113</v>
      </c>
      <c r="B118" s="28">
        <v>39.14</v>
      </c>
      <c r="C118" s="28">
        <v>159</v>
      </c>
      <c r="D118" s="29">
        <f t="shared" si="2"/>
        <v>39.14</v>
      </c>
    </row>
    <row r="119" spans="1:4" ht="15.75" customHeight="1" x14ac:dyDescent="0.5">
      <c r="A119" s="27">
        <v>161</v>
      </c>
      <c r="B119" s="28">
        <v>44.5</v>
      </c>
      <c r="C119" s="28">
        <v>159</v>
      </c>
      <c r="D119" s="29">
        <f t="shared" si="2"/>
        <v>44.5</v>
      </c>
    </row>
    <row r="120" spans="1:4" ht="15.75" customHeight="1" x14ac:dyDescent="0.5">
      <c r="A120" s="27">
        <v>170</v>
      </c>
      <c r="B120" s="28">
        <v>60.86</v>
      </c>
      <c r="C120" s="28">
        <v>162</v>
      </c>
      <c r="D120" s="29">
        <f t="shared" si="2"/>
        <v>60.86</v>
      </c>
    </row>
    <row r="121" spans="1:4" ht="15.75" customHeight="1" x14ac:dyDescent="0.5">
      <c r="A121" s="27">
        <v>104</v>
      </c>
      <c r="B121" s="28">
        <v>38.58</v>
      </c>
      <c r="C121" s="28">
        <v>163</v>
      </c>
      <c r="D121" s="29">
        <f t="shared" si="2"/>
        <v>38.58</v>
      </c>
    </row>
    <row r="122" spans="1:4" ht="15.75" customHeight="1" x14ac:dyDescent="0.5">
      <c r="A122" s="27">
        <v>121</v>
      </c>
      <c r="B122" s="28">
        <v>36.260000000000005</v>
      </c>
      <c r="C122" s="28">
        <v>163</v>
      </c>
      <c r="D122" s="29">
        <f t="shared" si="2"/>
        <v>36.260000000000005</v>
      </c>
    </row>
    <row r="123" spans="1:4" ht="15.75" customHeight="1" x14ac:dyDescent="0.5">
      <c r="A123" s="27">
        <v>172</v>
      </c>
      <c r="B123" s="28">
        <v>42.9</v>
      </c>
      <c r="C123" s="28">
        <v>163</v>
      </c>
      <c r="D123" s="29">
        <f t="shared" si="2"/>
        <v>42.9</v>
      </c>
    </row>
    <row r="124" spans="1:4" ht="15.75" customHeight="1" x14ac:dyDescent="0.5">
      <c r="A124" s="27">
        <v>46</v>
      </c>
      <c r="B124" s="28">
        <v>42.019999999999996</v>
      </c>
      <c r="C124" s="28">
        <v>165</v>
      </c>
      <c r="D124" s="29">
        <f t="shared" si="2"/>
        <v>42.019999999999996</v>
      </c>
    </row>
    <row r="125" spans="1:4" ht="15.75" customHeight="1" x14ac:dyDescent="0.5">
      <c r="A125" s="27">
        <v>151</v>
      </c>
      <c r="B125" s="28">
        <v>66.14</v>
      </c>
      <c r="C125" s="28">
        <v>166</v>
      </c>
      <c r="D125" s="29">
        <f t="shared" si="2"/>
        <v>66.14</v>
      </c>
    </row>
    <row r="126" spans="1:4" ht="15.75" customHeight="1" x14ac:dyDescent="0.5">
      <c r="A126" s="27">
        <v>155</v>
      </c>
      <c r="B126" s="28">
        <v>43.56</v>
      </c>
      <c r="C126" s="28">
        <v>166</v>
      </c>
      <c r="D126" s="29">
        <f t="shared" si="2"/>
        <v>43.56</v>
      </c>
    </row>
    <row r="127" spans="1:4" ht="15.75" customHeight="1" x14ac:dyDescent="0.5">
      <c r="A127" s="27">
        <v>27</v>
      </c>
      <c r="B127" s="28">
        <v>38.58</v>
      </c>
      <c r="C127" s="28">
        <v>167</v>
      </c>
      <c r="D127" s="29">
        <f t="shared" si="2"/>
        <v>38.58</v>
      </c>
    </row>
    <row r="128" spans="1:4" ht="15.75" customHeight="1" x14ac:dyDescent="0.5">
      <c r="A128" s="27">
        <v>114</v>
      </c>
      <c r="B128" s="28">
        <v>44.92</v>
      </c>
      <c r="C128" s="28">
        <v>167</v>
      </c>
      <c r="D128" s="29">
        <f t="shared" si="2"/>
        <v>44.92</v>
      </c>
    </row>
    <row r="129" spans="1:4" ht="15.75" customHeight="1" x14ac:dyDescent="0.5">
      <c r="A129" s="27">
        <v>189</v>
      </c>
      <c r="B129" s="28">
        <v>59.2</v>
      </c>
      <c r="C129" s="28">
        <v>167</v>
      </c>
      <c r="D129" s="29">
        <f t="shared" si="2"/>
        <v>59.2</v>
      </c>
    </row>
    <row r="130" spans="1:4" ht="15.75" customHeight="1" x14ac:dyDescent="0.5">
      <c r="A130" s="27">
        <v>28</v>
      </c>
      <c r="B130" s="28">
        <v>49.019999999999996</v>
      </c>
      <c r="C130" s="28">
        <v>168</v>
      </c>
      <c r="D130" s="29">
        <f t="shared" si="2"/>
        <v>49.019999999999996</v>
      </c>
    </row>
    <row r="131" spans="1:4" ht="15.75" customHeight="1" x14ac:dyDescent="0.5">
      <c r="A131" s="27">
        <v>98</v>
      </c>
      <c r="B131" s="28">
        <v>41.980000000000004</v>
      </c>
      <c r="C131" s="28">
        <v>168</v>
      </c>
      <c r="D131" s="29">
        <f t="shared" si="2"/>
        <v>41.980000000000004</v>
      </c>
    </row>
    <row r="132" spans="1:4" ht="15.75" customHeight="1" x14ac:dyDescent="0.5">
      <c r="A132" s="27">
        <v>163</v>
      </c>
      <c r="B132" s="28">
        <v>42.68</v>
      </c>
      <c r="C132" s="28">
        <v>168</v>
      </c>
      <c r="D132" s="29">
        <f t="shared" si="2"/>
        <v>42.68</v>
      </c>
    </row>
    <row r="133" spans="1:4" ht="15.75" customHeight="1" x14ac:dyDescent="0.5">
      <c r="A133" s="27">
        <v>153</v>
      </c>
      <c r="B133" s="28">
        <v>40.519999999999996</v>
      </c>
      <c r="C133" s="28">
        <v>169</v>
      </c>
      <c r="D133" s="29">
        <f t="shared" si="2"/>
        <v>40.519999999999996</v>
      </c>
    </row>
    <row r="134" spans="1:4" ht="15.75" customHeight="1" x14ac:dyDescent="0.5">
      <c r="A134" s="27">
        <v>63</v>
      </c>
      <c r="B134" s="28">
        <v>53.86</v>
      </c>
      <c r="C134" s="28">
        <v>170</v>
      </c>
      <c r="D134" s="29">
        <f t="shared" si="2"/>
        <v>53.86</v>
      </c>
    </row>
    <row r="135" spans="1:4" ht="15.75" customHeight="1" x14ac:dyDescent="0.5">
      <c r="A135" s="27">
        <v>124</v>
      </c>
      <c r="B135" s="28">
        <v>33.619999999999997</v>
      </c>
      <c r="C135" s="28">
        <v>171</v>
      </c>
      <c r="D135" s="29">
        <f t="shared" si="2"/>
        <v>33.619999999999997</v>
      </c>
    </row>
    <row r="136" spans="1:4" ht="15.75" customHeight="1" x14ac:dyDescent="0.5">
      <c r="A136" s="27">
        <v>119</v>
      </c>
      <c r="B136" s="28">
        <v>29.14</v>
      </c>
      <c r="C136" s="28">
        <v>172</v>
      </c>
      <c r="D136" s="29">
        <f t="shared" si="2"/>
        <v>29.14</v>
      </c>
    </row>
    <row r="137" spans="1:4" ht="15.75" customHeight="1" x14ac:dyDescent="0.5">
      <c r="A137" s="27">
        <v>157</v>
      </c>
      <c r="B137" s="28">
        <v>25.78</v>
      </c>
      <c r="C137" s="28">
        <v>173</v>
      </c>
      <c r="D137" s="29">
        <f t="shared" si="2"/>
        <v>25.78</v>
      </c>
    </row>
    <row r="138" spans="1:4" ht="15.75" customHeight="1" x14ac:dyDescent="0.5">
      <c r="A138" s="27">
        <v>24</v>
      </c>
      <c r="B138" s="28">
        <v>49.660000000000004</v>
      </c>
      <c r="C138" s="28">
        <v>175</v>
      </c>
      <c r="D138" s="29">
        <f t="shared" si="2"/>
        <v>49.660000000000004</v>
      </c>
    </row>
    <row r="139" spans="1:4" ht="15.75" customHeight="1" x14ac:dyDescent="0.5">
      <c r="A139" s="27">
        <v>96</v>
      </c>
      <c r="B139" s="28">
        <v>40.660000000000004</v>
      </c>
      <c r="C139" s="28">
        <v>175</v>
      </c>
      <c r="D139" s="29">
        <f t="shared" si="2"/>
        <v>40.660000000000004</v>
      </c>
    </row>
    <row r="140" spans="1:4" ht="15.75" customHeight="1" x14ac:dyDescent="0.5">
      <c r="A140" s="27">
        <v>90</v>
      </c>
      <c r="B140" s="28">
        <v>23.96</v>
      </c>
      <c r="C140" s="28">
        <v>177</v>
      </c>
      <c r="D140" s="29">
        <f t="shared" si="2"/>
        <v>23.96</v>
      </c>
    </row>
    <row r="141" spans="1:4" ht="15.75" customHeight="1" x14ac:dyDescent="0.5">
      <c r="A141" s="27">
        <v>41</v>
      </c>
      <c r="B141" s="28">
        <v>45.5</v>
      </c>
      <c r="C141" s="28">
        <v>179</v>
      </c>
      <c r="D141" s="29">
        <f t="shared" si="2"/>
        <v>45.5</v>
      </c>
    </row>
    <row r="142" spans="1:4" ht="15.75" customHeight="1" x14ac:dyDescent="0.5">
      <c r="A142" s="27">
        <v>88</v>
      </c>
      <c r="B142" s="28">
        <v>28.14</v>
      </c>
      <c r="C142" s="28">
        <v>180</v>
      </c>
      <c r="D142" s="29">
        <f t="shared" si="2"/>
        <v>28.14</v>
      </c>
    </row>
    <row r="143" spans="1:4" ht="15.75" customHeight="1" x14ac:dyDescent="0.5">
      <c r="A143" s="27">
        <v>100</v>
      </c>
      <c r="B143" s="28">
        <v>28.04</v>
      </c>
      <c r="C143" s="28">
        <v>183</v>
      </c>
      <c r="D143" s="29">
        <f t="shared" si="2"/>
        <v>28.04</v>
      </c>
    </row>
    <row r="144" spans="1:4" ht="15.75" customHeight="1" x14ac:dyDescent="0.5">
      <c r="A144" s="27">
        <v>34</v>
      </c>
      <c r="B144" s="28">
        <v>61.120000000000005</v>
      </c>
      <c r="C144" s="28">
        <v>184</v>
      </c>
      <c r="D144" s="29">
        <f t="shared" si="2"/>
        <v>61.120000000000005</v>
      </c>
    </row>
    <row r="145" spans="1:4" ht="15.75" customHeight="1" x14ac:dyDescent="0.5">
      <c r="A145" s="27">
        <v>195</v>
      </c>
      <c r="B145" s="28">
        <v>32.94</v>
      </c>
      <c r="C145" s="28">
        <v>184</v>
      </c>
      <c r="D145" s="29">
        <f t="shared" si="2"/>
        <v>32.94</v>
      </c>
    </row>
    <row r="146" spans="1:4" ht="15.75" customHeight="1" x14ac:dyDescent="0.5">
      <c r="A146" s="27">
        <v>169</v>
      </c>
      <c r="B146" s="28">
        <v>45.08</v>
      </c>
      <c r="C146" s="28">
        <v>185</v>
      </c>
      <c r="D146" s="29">
        <f t="shared" si="2"/>
        <v>45.08</v>
      </c>
    </row>
    <row r="147" spans="1:4" ht="15.75" customHeight="1" x14ac:dyDescent="0.5">
      <c r="A147" s="27">
        <v>42</v>
      </c>
      <c r="B147" s="28">
        <v>40.4</v>
      </c>
      <c r="C147" s="28">
        <v>186</v>
      </c>
      <c r="D147" s="29">
        <f t="shared" si="2"/>
        <v>40.4</v>
      </c>
    </row>
    <row r="148" spans="1:4" ht="15.75" customHeight="1" x14ac:dyDescent="0.5">
      <c r="A148" s="27">
        <v>60</v>
      </c>
      <c r="B148" s="28">
        <v>50.14</v>
      </c>
      <c r="C148" s="28">
        <v>186</v>
      </c>
      <c r="D148" s="29">
        <f t="shared" si="2"/>
        <v>50.14</v>
      </c>
    </row>
    <row r="149" spans="1:4" ht="15.75" customHeight="1" x14ac:dyDescent="0.5">
      <c r="A149" s="27">
        <v>188</v>
      </c>
      <c r="B149" s="28">
        <v>41.22</v>
      </c>
      <c r="C149" s="28">
        <v>186</v>
      </c>
      <c r="D149" s="29">
        <f t="shared" si="2"/>
        <v>41.22</v>
      </c>
    </row>
    <row r="150" spans="1:4" ht="15.75" customHeight="1" x14ac:dyDescent="0.5">
      <c r="A150" s="27">
        <v>65</v>
      </c>
      <c r="B150" s="28">
        <v>27.22</v>
      </c>
      <c r="C150" s="28">
        <v>187</v>
      </c>
      <c r="D150" s="29">
        <f t="shared" si="2"/>
        <v>27.22</v>
      </c>
    </row>
    <row r="151" spans="1:4" ht="15.75" customHeight="1" x14ac:dyDescent="0.5">
      <c r="A151" s="27">
        <v>75</v>
      </c>
      <c r="B151" s="28">
        <v>50.68</v>
      </c>
      <c r="C151" s="28">
        <v>187</v>
      </c>
      <c r="D151" s="29">
        <f t="shared" si="2"/>
        <v>50.68</v>
      </c>
    </row>
    <row r="152" spans="1:4" ht="15.75" customHeight="1" x14ac:dyDescent="0.5">
      <c r="A152" s="27">
        <v>21</v>
      </c>
      <c r="B152" s="28">
        <v>46.68</v>
      </c>
      <c r="C152" s="28">
        <v>188</v>
      </c>
      <c r="D152" s="29">
        <f t="shared" si="2"/>
        <v>46.68</v>
      </c>
    </row>
    <row r="153" spans="1:4" ht="15.75" customHeight="1" x14ac:dyDescent="0.5">
      <c r="A153" s="27">
        <v>185</v>
      </c>
      <c r="B153" s="28">
        <v>58.760000000000005</v>
      </c>
      <c r="C153" s="28">
        <v>188</v>
      </c>
      <c r="D153" s="29">
        <f t="shared" si="2"/>
        <v>58.760000000000005</v>
      </c>
    </row>
    <row r="154" spans="1:4" ht="15.75" customHeight="1" x14ac:dyDescent="0.5">
      <c r="A154" s="27">
        <v>15</v>
      </c>
      <c r="B154" s="28">
        <v>44.82</v>
      </c>
      <c r="C154" s="28">
        <v>191</v>
      </c>
      <c r="D154" s="29">
        <f t="shared" si="2"/>
        <v>44.82</v>
      </c>
    </row>
    <row r="155" spans="1:4" ht="15.75" customHeight="1" x14ac:dyDescent="0.5">
      <c r="A155" s="27">
        <v>164</v>
      </c>
      <c r="B155" s="28">
        <v>33.700000000000003</v>
      </c>
      <c r="C155" s="28">
        <v>193</v>
      </c>
      <c r="D155" s="29">
        <f t="shared" si="2"/>
        <v>33.700000000000003</v>
      </c>
    </row>
    <row r="156" spans="1:4" ht="15.75" customHeight="1" x14ac:dyDescent="0.5">
      <c r="A156" s="27">
        <v>69</v>
      </c>
      <c r="B156" s="28">
        <v>51.480000000000004</v>
      </c>
      <c r="C156" s="28">
        <v>196</v>
      </c>
      <c r="D156" s="29">
        <f t="shared" si="2"/>
        <v>51.480000000000004</v>
      </c>
    </row>
    <row r="157" spans="1:4" ht="15.75" customHeight="1" x14ac:dyDescent="0.5">
      <c r="A157" s="27">
        <v>71</v>
      </c>
      <c r="B157" s="28">
        <v>44.82</v>
      </c>
      <c r="C157" s="28">
        <v>196</v>
      </c>
      <c r="D157" s="29">
        <f t="shared" si="2"/>
        <v>44.82</v>
      </c>
    </row>
    <row r="158" spans="1:4" ht="15.75" customHeight="1" x14ac:dyDescent="0.5">
      <c r="A158" s="27">
        <v>106</v>
      </c>
      <c r="B158" s="28">
        <v>37.58</v>
      </c>
      <c r="C158" s="28">
        <v>196</v>
      </c>
      <c r="D158" s="29">
        <f t="shared" si="2"/>
        <v>37.58</v>
      </c>
    </row>
    <row r="159" spans="1:4" ht="15.75" customHeight="1" x14ac:dyDescent="0.5">
      <c r="A159" s="27">
        <v>4</v>
      </c>
      <c r="B159" s="28">
        <v>31.3</v>
      </c>
      <c r="C159" s="28">
        <v>197</v>
      </c>
      <c r="D159" s="29">
        <f t="shared" si="2"/>
        <v>31.3</v>
      </c>
    </row>
    <row r="160" spans="1:4" ht="15.75" customHeight="1" x14ac:dyDescent="0.5">
      <c r="A160" s="27">
        <v>29</v>
      </c>
      <c r="B160" s="28">
        <v>52.760000000000005</v>
      </c>
      <c r="C160" s="28">
        <v>199</v>
      </c>
      <c r="D160" s="29">
        <f t="shared" si="2"/>
        <v>52.760000000000005</v>
      </c>
    </row>
    <row r="161" spans="1:4" ht="15.75" customHeight="1" x14ac:dyDescent="0.5">
      <c r="A161" s="27">
        <v>125</v>
      </c>
      <c r="B161" s="28">
        <v>51.9</v>
      </c>
      <c r="C161" s="28">
        <v>201</v>
      </c>
      <c r="D161" s="29">
        <f t="shared" si="2"/>
        <v>51.9</v>
      </c>
    </row>
    <row r="162" spans="1:4" ht="15.75" customHeight="1" x14ac:dyDescent="0.5">
      <c r="A162" s="27">
        <v>194</v>
      </c>
      <c r="B162" s="28">
        <v>41.36</v>
      </c>
      <c r="C162" s="28">
        <v>204</v>
      </c>
      <c r="D162" s="29">
        <f t="shared" si="2"/>
        <v>41.36</v>
      </c>
    </row>
    <row r="163" spans="1:4" ht="15.75" customHeight="1" x14ac:dyDescent="0.5">
      <c r="A163" s="27">
        <v>142</v>
      </c>
      <c r="B163" s="28"/>
      <c r="C163" s="28">
        <v>207</v>
      </c>
      <c r="D163" s="29">
        <f>IF(ISBLANK(B163),AVERAGE(B160:B166),B163)</f>
        <v>49.443333333333328</v>
      </c>
    </row>
    <row r="164" spans="1:4" ht="15.75" customHeight="1" x14ac:dyDescent="0.5">
      <c r="A164" s="27">
        <v>105</v>
      </c>
      <c r="B164" s="28">
        <v>54.64</v>
      </c>
      <c r="C164" s="28">
        <v>208</v>
      </c>
      <c r="D164" s="29">
        <f t="shared" si="2"/>
        <v>54.64</v>
      </c>
    </row>
    <row r="165" spans="1:4" ht="15.75" customHeight="1" x14ac:dyDescent="0.5">
      <c r="A165" s="27">
        <v>154</v>
      </c>
      <c r="B165" s="28">
        <v>37.260000000000005</v>
      </c>
      <c r="C165" s="28">
        <v>208</v>
      </c>
      <c r="D165" s="29">
        <f t="shared" si="2"/>
        <v>37.260000000000005</v>
      </c>
    </row>
    <row r="166" spans="1:4" ht="15.75" customHeight="1" x14ac:dyDescent="0.5">
      <c r="A166" s="27">
        <v>138</v>
      </c>
      <c r="B166" s="28">
        <v>58.739999999999995</v>
      </c>
      <c r="C166" s="28">
        <v>210</v>
      </c>
      <c r="D166" s="29">
        <f t="shared" si="2"/>
        <v>58.739999999999995</v>
      </c>
    </row>
    <row r="167" spans="1:4" ht="15.75" customHeight="1" x14ac:dyDescent="0.5">
      <c r="A167" s="27">
        <v>177</v>
      </c>
      <c r="B167" s="28">
        <v>58.68</v>
      </c>
      <c r="C167" s="28">
        <v>216</v>
      </c>
      <c r="D167" s="29">
        <f t="shared" si="2"/>
        <v>58.68</v>
      </c>
    </row>
    <row r="168" spans="1:4" ht="15.75" customHeight="1" x14ac:dyDescent="0.5">
      <c r="A168" s="27">
        <v>143</v>
      </c>
      <c r="B168" s="28">
        <v>50.1</v>
      </c>
      <c r="C168" s="28">
        <v>218</v>
      </c>
      <c r="D168" s="29">
        <f t="shared" si="2"/>
        <v>50.1</v>
      </c>
    </row>
    <row r="169" spans="1:4" ht="15.75" customHeight="1" x14ac:dyDescent="0.5">
      <c r="A169" s="27">
        <v>55</v>
      </c>
      <c r="B169" s="28">
        <v>62.54</v>
      </c>
      <c r="C169" s="28">
        <v>220</v>
      </c>
      <c r="D169" s="29">
        <f t="shared" si="2"/>
        <v>62.54</v>
      </c>
    </row>
    <row r="170" spans="1:4" ht="15.75" customHeight="1" x14ac:dyDescent="0.5">
      <c r="A170" s="27">
        <v>112</v>
      </c>
      <c r="B170" s="28">
        <v>55.339999999999996</v>
      </c>
      <c r="C170" s="28">
        <v>221</v>
      </c>
      <c r="D170" s="29">
        <f t="shared" si="2"/>
        <v>55.339999999999996</v>
      </c>
    </row>
    <row r="171" spans="1:4" ht="15.75" customHeight="1" x14ac:dyDescent="0.5">
      <c r="A171" s="27">
        <v>85</v>
      </c>
      <c r="B171" s="28">
        <v>45.7</v>
      </c>
      <c r="C171" s="28">
        <v>223</v>
      </c>
      <c r="D171" s="29">
        <f t="shared" si="2"/>
        <v>45.7</v>
      </c>
    </row>
    <row r="172" spans="1:4" ht="15.75" customHeight="1" x14ac:dyDescent="0.5">
      <c r="A172" s="27">
        <v>54</v>
      </c>
      <c r="B172" s="28">
        <v>41.519999999999996</v>
      </c>
      <c r="C172" s="28">
        <v>225</v>
      </c>
      <c r="D172" s="29">
        <f t="shared" si="2"/>
        <v>41.519999999999996</v>
      </c>
    </row>
    <row r="173" spans="1:4" ht="15.75" customHeight="1" x14ac:dyDescent="0.5">
      <c r="A173" s="27">
        <v>94</v>
      </c>
      <c r="B173" s="28">
        <v>56.18</v>
      </c>
      <c r="C173" s="28">
        <v>225</v>
      </c>
      <c r="D173" s="29">
        <f t="shared" si="2"/>
        <v>56.18</v>
      </c>
    </row>
    <row r="174" spans="1:4" ht="15.75" customHeight="1" x14ac:dyDescent="0.5">
      <c r="A174" s="27">
        <v>43</v>
      </c>
      <c r="B174" s="28">
        <v>67.72</v>
      </c>
      <c r="C174" s="28">
        <v>226</v>
      </c>
      <c r="D174" s="29">
        <f t="shared" si="2"/>
        <v>67.72</v>
      </c>
    </row>
    <row r="175" spans="1:4" ht="15.75" customHeight="1" x14ac:dyDescent="0.5">
      <c r="A175" s="27">
        <v>140</v>
      </c>
      <c r="B175" s="28">
        <v>196.98</v>
      </c>
      <c r="C175" s="28">
        <v>227</v>
      </c>
      <c r="D175" s="29">
        <f t="shared" si="2"/>
        <v>196.98</v>
      </c>
    </row>
    <row r="176" spans="1:4" ht="15.75" customHeight="1" x14ac:dyDescent="0.5">
      <c r="A176" s="27">
        <v>186</v>
      </c>
      <c r="B176" s="28">
        <v>46</v>
      </c>
      <c r="C176" s="28">
        <v>228</v>
      </c>
      <c r="D176" s="29">
        <f t="shared" si="2"/>
        <v>46</v>
      </c>
    </row>
    <row r="177" spans="1:4" ht="15.75" customHeight="1" x14ac:dyDescent="0.5">
      <c r="A177" s="27">
        <v>70</v>
      </c>
      <c r="B177" s="28">
        <v>48.36</v>
      </c>
      <c r="C177" s="28">
        <v>229</v>
      </c>
      <c r="D177" s="29">
        <f t="shared" si="2"/>
        <v>48.36</v>
      </c>
    </row>
    <row r="178" spans="1:4" ht="15.75" customHeight="1" x14ac:dyDescent="0.5">
      <c r="A178" s="27">
        <v>40</v>
      </c>
      <c r="B178" s="28">
        <v>53.6</v>
      </c>
      <c r="C178" s="28">
        <v>230</v>
      </c>
      <c r="D178" s="29">
        <f t="shared" ref="D178:D199" si="3">IF(ISBLANK(B178),AVERAGE(B175:B181),B178)</f>
        <v>53.6</v>
      </c>
    </row>
    <row r="179" spans="1:4" ht="15.75" customHeight="1" x14ac:dyDescent="0.5">
      <c r="A179" s="27">
        <v>31</v>
      </c>
      <c r="B179" s="28">
        <v>59.58</v>
      </c>
      <c r="C179" s="28">
        <v>231</v>
      </c>
      <c r="D179" s="29">
        <f t="shared" si="3"/>
        <v>59.58</v>
      </c>
    </row>
    <row r="180" spans="1:4" ht="15.75" customHeight="1" x14ac:dyDescent="0.5">
      <c r="A180" s="27">
        <v>53</v>
      </c>
      <c r="B180" s="28">
        <v>44.28</v>
      </c>
      <c r="C180" s="28">
        <v>235</v>
      </c>
      <c r="D180" s="29">
        <f t="shared" si="3"/>
        <v>44.28</v>
      </c>
    </row>
    <row r="181" spans="1:4" ht="15.75" customHeight="1" x14ac:dyDescent="0.5">
      <c r="A181" s="27">
        <v>199</v>
      </c>
      <c r="B181" s="28">
        <v>57.720000000000006</v>
      </c>
      <c r="C181" s="28">
        <v>235.5</v>
      </c>
      <c r="D181" s="29">
        <f t="shared" si="3"/>
        <v>57.720000000000006</v>
      </c>
    </row>
    <row r="182" spans="1:4" ht="15.75" customHeight="1" x14ac:dyDescent="0.5">
      <c r="A182" s="27">
        <v>1</v>
      </c>
      <c r="B182" s="28">
        <v>56.02</v>
      </c>
      <c r="C182" s="28">
        <v>236</v>
      </c>
      <c r="D182" s="29">
        <f t="shared" si="3"/>
        <v>56.02</v>
      </c>
    </row>
    <row r="183" spans="1:4" ht="15.75" customHeight="1" x14ac:dyDescent="0.5">
      <c r="A183" s="27">
        <v>59</v>
      </c>
      <c r="B183" s="28">
        <v>49.160000000000004</v>
      </c>
      <c r="C183" s="28">
        <v>239</v>
      </c>
      <c r="D183" s="29">
        <f t="shared" si="3"/>
        <v>49.160000000000004</v>
      </c>
    </row>
    <row r="184" spans="1:4" ht="15.75" customHeight="1" x14ac:dyDescent="0.5">
      <c r="A184" s="27">
        <v>16</v>
      </c>
      <c r="B184" s="28">
        <v>42.08</v>
      </c>
      <c r="C184" s="28">
        <v>240</v>
      </c>
      <c r="D184" s="29">
        <f t="shared" si="3"/>
        <v>42.08</v>
      </c>
    </row>
    <row r="185" spans="1:4" ht="15.75" customHeight="1" x14ac:dyDescent="0.5">
      <c r="A185" s="27">
        <v>56</v>
      </c>
      <c r="B185" s="28">
        <v>40.78</v>
      </c>
      <c r="C185" s="28">
        <v>240</v>
      </c>
      <c r="D185" s="29">
        <f t="shared" si="3"/>
        <v>40.78</v>
      </c>
    </row>
    <row r="186" spans="1:4" ht="15.75" customHeight="1" x14ac:dyDescent="0.5">
      <c r="A186" s="27">
        <v>62</v>
      </c>
      <c r="B186" s="28">
        <v>61.260000000000005</v>
      </c>
      <c r="C186" s="28">
        <v>240</v>
      </c>
      <c r="D186" s="29">
        <f t="shared" si="3"/>
        <v>61.260000000000005</v>
      </c>
    </row>
    <row r="187" spans="1:4" ht="15.75" customHeight="1" x14ac:dyDescent="0.5">
      <c r="A187" s="27">
        <v>48</v>
      </c>
      <c r="B187" s="28">
        <v>52.980000000000004</v>
      </c>
      <c r="C187" s="28">
        <v>245</v>
      </c>
      <c r="D187" s="29">
        <f t="shared" si="3"/>
        <v>52.980000000000004</v>
      </c>
    </row>
    <row r="188" spans="1:4" ht="15.75" customHeight="1" x14ac:dyDescent="0.5">
      <c r="A188" s="27">
        <v>102</v>
      </c>
      <c r="B188" s="28">
        <v>63.279999999999994</v>
      </c>
      <c r="C188" s="28">
        <v>254</v>
      </c>
      <c r="D188" s="29">
        <f t="shared" si="3"/>
        <v>63.279999999999994</v>
      </c>
    </row>
    <row r="189" spans="1:4" ht="15.75" customHeight="1" x14ac:dyDescent="0.5">
      <c r="A189" s="27">
        <v>37</v>
      </c>
      <c r="B189" s="28">
        <v>56.379999999999995</v>
      </c>
      <c r="C189" s="28">
        <v>256</v>
      </c>
      <c r="D189" s="29">
        <f t="shared" si="3"/>
        <v>56.379999999999995</v>
      </c>
    </row>
    <row r="190" spans="1:4" ht="15.75" customHeight="1" x14ac:dyDescent="0.5">
      <c r="A190" s="27">
        <v>99</v>
      </c>
      <c r="B190" s="28">
        <v>64.94</v>
      </c>
      <c r="C190" s="28">
        <v>257</v>
      </c>
      <c r="D190" s="29">
        <f t="shared" si="3"/>
        <v>64.94</v>
      </c>
    </row>
    <row r="191" spans="1:4" ht="15.75" customHeight="1" x14ac:dyDescent="0.5">
      <c r="A191" s="27">
        <v>18</v>
      </c>
      <c r="B191" s="28">
        <v>62.279999999999994</v>
      </c>
      <c r="C191" s="28">
        <v>258</v>
      </c>
      <c r="D191" s="29">
        <f t="shared" si="3"/>
        <v>62.279999999999994</v>
      </c>
    </row>
    <row r="192" spans="1:4" ht="15.75" customHeight="1" x14ac:dyDescent="0.5">
      <c r="A192" s="27">
        <v>129</v>
      </c>
      <c r="B192" s="28">
        <v>54.06</v>
      </c>
      <c r="C192" s="28">
        <v>264</v>
      </c>
      <c r="D192" s="29">
        <f t="shared" si="3"/>
        <v>54.06</v>
      </c>
    </row>
    <row r="193" spans="1:4" ht="15.75" customHeight="1" x14ac:dyDescent="0.5">
      <c r="A193" s="27">
        <v>148</v>
      </c>
      <c r="B193" s="28">
        <v>50.64</v>
      </c>
      <c r="C193" s="28">
        <v>265</v>
      </c>
      <c r="D193" s="29">
        <f t="shared" si="3"/>
        <v>50.64</v>
      </c>
    </row>
    <row r="194" spans="1:4" ht="15.75" customHeight="1" x14ac:dyDescent="0.5">
      <c r="A194" s="27">
        <v>176</v>
      </c>
      <c r="B194" s="28">
        <v>64.38</v>
      </c>
      <c r="C194" s="28">
        <v>271</v>
      </c>
      <c r="D194" s="29">
        <f t="shared" si="3"/>
        <v>64.38</v>
      </c>
    </row>
    <row r="195" spans="1:4" ht="15.75" customHeight="1" x14ac:dyDescent="0.5">
      <c r="A195" s="27">
        <v>184</v>
      </c>
      <c r="B195" s="28">
        <v>65.52000000000001</v>
      </c>
      <c r="C195" s="28">
        <v>272</v>
      </c>
      <c r="D195" s="29">
        <f t="shared" si="3"/>
        <v>65.52000000000001</v>
      </c>
    </row>
    <row r="196" spans="1:4" ht="15.75" customHeight="1" x14ac:dyDescent="0.5">
      <c r="A196" s="27">
        <v>64</v>
      </c>
      <c r="B196" s="28">
        <v>27.54</v>
      </c>
      <c r="C196" s="28">
        <v>298.75</v>
      </c>
      <c r="D196" s="29">
        <f t="shared" si="3"/>
        <v>27.54</v>
      </c>
    </row>
    <row r="197" spans="1:4" ht="15.75" customHeight="1" x14ac:dyDescent="0.5">
      <c r="A197" s="27">
        <v>93</v>
      </c>
      <c r="B197" s="28">
        <v>47.54</v>
      </c>
      <c r="C197" s="28">
        <v>811</v>
      </c>
      <c r="D197" s="29">
        <f t="shared" si="3"/>
        <v>47.54</v>
      </c>
    </row>
    <row r="198" spans="1:4" ht="15.75" customHeight="1" x14ac:dyDescent="0.5">
      <c r="A198" s="27">
        <v>23</v>
      </c>
      <c r="B198" s="28">
        <v>11.64</v>
      </c>
      <c r="C198" s="28"/>
      <c r="D198" s="29">
        <f t="shared" si="3"/>
        <v>11.64</v>
      </c>
    </row>
    <row r="199" spans="1:4" ht="15.75" customHeight="1" x14ac:dyDescent="0.5">
      <c r="A199" s="27">
        <v>110</v>
      </c>
      <c r="B199" s="28">
        <v>53.08</v>
      </c>
      <c r="C199" s="28"/>
      <c r="D199" s="29">
        <f t="shared" si="3"/>
        <v>53.08</v>
      </c>
    </row>
    <row r="200" spans="1:4" ht="15.75" customHeight="1" x14ac:dyDescent="0.5">
      <c r="A200" s="27">
        <v>134</v>
      </c>
      <c r="B200" s="28">
        <v>45.96</v>
      </c>
      <c r="C200" s="28"/>
      <c r="D200" s="29">
        <f>IF(ISBLANK(B200),AVERAGE(B197:B203),B200)</f>
        <v>45.96</v>
      </c>
    </row>
    <row r="201" spans="1:4" ht="15.75" customHeight="1" x14ac:dyDescent="0.5">
      <c r="A201" s="27">
        <v>144</v>
      </c>
      <c r="B201" s="28">
        <v>28.919999999999998</v>
      </c>
      <c r="C201" s="28"/>
      <c r="D201" s="29">
        <f>IF(ISBLANK(B201),AVERAGE(B198:B204),B201)</f>
        <v>28.919999999999998</v>
      </c>
    </row>
    <row r="202" spans="1:4" ht="15.75" customHeight="1" x14ac:dyDescent="0.5"/>
    <row r="203" spans="1:4" ht="15.75" customHeight="1" x14ac:dyDescent="0.5"/>
    <row r="204" spans="1:4" ht="15.75" customHeight="1" x14ac:dyDescent="0.5"/>
    <row r="205" spans="1:4" ht="15.75" customHeight="1" x14ac:dyDescent="0.5"/>
    <row r="206" spans="1:4" ht="15.75" customHeight="1" x14ac:dyDescent="0.5"/>
    <row r="207" spans="1:4" ht="15.75" customHeight="1" x14ac:dyDescent="0.5"/>
    <row r="208" spans="1:4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D201" xr:uid="{394FCDA5-4C83-3747-A4FE-4E130E342A6B}">
    <sortState xmlns:xlrd2="http://schemas.microsoft.com/office/spreadsheetml/2017/richdata2" ref="A2:D201">
      <sortCondition ref="C1:C201"/>
    </sortState>
  </autoFilter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644F-52B2-E24D-85DA-AFB8901C6F30}">
  <dimension ref="A1:W1000"/>
  <sheetViews>
    <sheetView showGridLines="0" topLeftCell="H1" zoomScale="49" zoomScaleNormal="200" workbookViewId="0">
      <selection activeCell="V56" sqref="V56"/>
    </sheetView>
  </sheetViews>
  <sheetFormatPr defaultColWidth="11.1875" defaultRowHeight="15" customHeight="1" x14ac:dyDescent="0.5"/>
  <cols>
    <col min="1" max="2" width="10.5" customWidth="1"/>
    <col min="3" max="3" width="14.5" bestFit="1" customWidth="1"/>
    <col min="4" max="4" width="12" bestFit="1" customWidth="1"/>
    <col min="5" max="6" width="10.5" customWidth="1"/>
    <col min="7" max="7" width="13" bestFit="1" customWidth="1"/>
    <col min="8" max="8" width="15.6875" style="3" bestFit="1" customWidth="1"/>
    <col min="9" max="9" width="19.0625" style="4" bestFit="1" customWidth="1"/>
    <col min="10" max="10" width="14.5" bestFit="1" customWidth="1"/>
    <col min="11" max="11" width="18.5625" bestFit="1" customWidth="1"/>
    <col min="12" max="12" width="16.0625" bestFit="1" customWidth="1"/>
    <col min="13" max="13" width="14.875" bestFit="1" customWidth="1"/>
    <col min="14" max="14" width="10.5" customWidth="1"/>
    <col min="15" max="15" width="25.6875" customWidth="1"/>
    <col min="16" max="20" width="10.5" customWidth="1"/>
    <col min="21" max="21" width="12.25" bestFit="1" customWidth="1"/>
    <col min="22" max="30" width="10.5" customWidth="1"/>
  </cols>
  <sheetData>
    <row r="1" spans="1:23" ht="42" customHeight="1" thickBot="1" x14ac:dyDescent="0.55000000000000004">
      <c r="A1" s="26" t="s">
        <v>0</v>
      </c>
      <c r="B1" s="26" t="s">
        <v>17</v>
      </c>
      <c r="C1" s="26" t="s">
        <v>1</v>
      </c>
      <c r="D1" s="54" t="s">
        <v>12</v>
      </c>
      <c r="E1" s="54" t="s">
        <v>13</v>
      </c>
      <c r="F1" s="54" t="s">
        <v>14</v>
      </c>
      <c r="G1" s="54" t="s">
        <v>15</v>
      </c>
      <c r="H1" s="54" t="s">
        <v>16</v>
      </c>
      <c r="I1" s="56" t="s">
        <v>12</v>
      </c>
      <c r="J1" s="56" t="s">
        <v>13</v>
      </c>
      <c r="K1" s="56" t="s">
        <v>14</v>
      </c>
      <c r="L1" s="57" t="s">
        <v>15</v>
      </c>
      <c r="M1" s="56" t="s">
        <v>16</v>
      </c>
    </row>
    <row r="2" spans="1:23" ht="22.9" customHeight="1" x14ac:dyDescent="0.65">
      <c r="A2" s="27">
        <v>1</v>
      </c>
      <c r="B2" s="27">
        <f t="shared" ref="B2:B33" si="0">WEEKDAY(C2,2)</f>
        <v>6</v>
      </c>
      <c r="C2" s="55">
        <f t="shared" ref="C2:C33" si="1">+C3-1</f>
        <v>44996</v>
      </c>
      <c r="D2" s="29">
        <v>56.02</v>
      </c>
      <c r="E2" s="29">
        <v>37.799999999999997</v>
      </c>
      <c r="F2" s="29">
        <v>69.2</v>
      </c>
      <c r="G2" s="29">
        <v>14.229999999999993</v>
      </c>
      <c r="H2" s="29">
        <v>236</v>
      </c>
      <c r="I2" s="29">
        <f>IF(D2&gt;T$4,T$4,D2)</f>
        <v>56.02</v>
      </c>
      <c r="J2" s="29">
        <f t="shared" ref="J2:J33" si="2">IF(E2&gt;T$5,T$5,E2)</f>
        <v>37.799999999999997</v>
      </c>
      <c r="K2" s="29">
        <f>IF(F2&gt;T$6,T$6,F2)</f>
        <v>69.2</v>
      </c>
      <c r="L2" s="29">
        <f>IF(G2&gt;T$7,T$7,G2)</f>
        <v>14.229999999999993</v>
      </c>
      <c r="M2" s="29">
        <f>IF(H2&gt;T$8,T$8,H2)</f>
        <v>236</v>
      </c>
      <c r="O2" s="123" t="s">
        <v>69</v>
      </c>
      <c r="P2" s="124"/>
      <c r="Q2" s="124"/>
      <c r="R2" s="124"/>
      <c r="S2" s="124"/>
      <c r="T2" s="124"/>
      <c r="U2" s="125"/>
    </row>
    <row r="3" spans="1:23" ht="15.75" customHeight="1" x14ac:dyDescent="0.5">
      <c r="A3" s="27">
        <v>2</v>
      </c>
      <c r="B3" s="27">
        <f t="shared" si="0"/>
        <v>7</v>
      </c>
      <c r="C3" s="55">
        <f t="shared" si="1"/>
        <v>44997</v>
      </c>
      <c r="D3" s="29">
        <v>10.9</v>
      </c>
      <c r="E3" s="29">
        <v>39.299999999999997</v>
      </c>
      <c r="F3" s="29">
        <v>45.1</v>
      </c>
      <c r="G3" s="29">
        <v>6.0599999999999952</v>
      </c>
      <c r="H3" s="29">
        <v>122</v>
      </c>
      <c r="I3" s="29">
        <f t="shared" ref="I3:I66" si="3">IF(D3&gt;T$4,T$4,D3)</f>
        <v>10.9</v>
      </c>
      <c r="J3" s="29">
        <f t="shared" si="2"/>
        <v>39.299999999999997</v>
      </c>
      <c r="K3" s="29">
        <f t="shared" ref="K3:K66" si="4">IF(F3&gt;T$6,T$6,F3)</f>
        <v>45.1</v>
      </c>
      <c r="L3" s="29">
        <f t="shared" ref="L3:L66" si="5">IF(G3&gt;T$7,T$7,G3)</f>
        <v>6.0599999999999952</v>
      </c>
      <c r="M3" s="29">
        <f t="shared" ref="M3:M66" si="6">IF(H3&gt;T$8,T$8,H3)</f>
        <v>122</v>
      </c>
      <c r="N3" s="4"/>
      <c r="O3" s="45" t="s">
        <v>50</v>
      </c>
      <c r="P3" s="43" t="s">
        <v>20</v>
      </c>
      <c r="Q3" s="43" t="s">
        <v>21</v>
      </c>
      <c r="R3" s="43" t="s">
        <v>22</v>
      </c>
      <c r="S3" s="43" t="s">
        <v>66</v>
      </c>
      <c r="T3" s="43" t="s">
        <v>67</v>
      </c>
      <c r="U3" s="46" t="s">
        <v>68</v>
      </c>
      <c r="V3" s="4"/>
      <c r="W3" s="4"/>
    </row>
    <row r="4" spans="1:23" ht="15.75" customHeight="1" x14ac:dyDescent="0.5">
      <c r="A4" s="27">
        <v>3</v>
      </c>
      <c r="B4" s="27">
        <f t="shared" si="0"/>
        <v>1</v>
      </c>
      <c r="C4" s="55">
        <f t="shared" si="1"/>
        <v>44998</v>
      </c>
      <c r="D4" s="29">
        <v>12.44</v>
      </c>
      <c r="E4" s="29">
        <v>45.9</v>
      </c>
      <c r="F4" s="29">
        <v>69.3</v>
      </c>
      <c r="G4" s="29">
        <v>16.95</v>
      </c>
      <c r="H4" s="29">
        <v>96</v>
      </c>
      <c r="I4" s="29">
        <f t="shared" si="3"/>
        <v>12.44</v>
      </c>
      <c r="J4" s="29">
        <f t="shared" si="2"/>
        <v>45.9</v>
      </c>
      <c r="K4" s="29">
        <f t="shared" si="4"/>
        <v>69.3</v>
      </c>
      <c r="L4" s="29">
        <f t="shared" si="5"/>
        <v>16.95</v>
      </c>
      <c r="M4" s="29">
        <f t="shared" si="6"/>
        <v>96</v>
      </c>
      <c r="N4" s="4"/>
      <c r="O4" s="47" t="s">
        <v>59</v>
      </c>
      <c r="P4" s="44">
        <f>QUARTILE($D$2:$D$201,1)</f>
        <v>20.455000000000002</v>
      </c>
      <c r="Q4" s="44">
        <f>QUARTILE($D$2:$D$201,3)</f>
        <v>50.744999999999997</v>
      </c>
      <c r="R4" s="44">
        <f>Q4-P4</f>
        <v>30.289999999999996</v>
      </c>
      <c r="S4" s="44">
        <f>P4-1.5*R4</f>
        <v>-24.979999999999993</v>
      </c>
      <c r="T4" s="44">
        <f>Q4+1.5*R4</f>
        <v>96.179999999999993</v>
      </c>
      <c r="U4" s="48">
        <v>3</v>
      </c>
      <c r="V4" s="4"/>
      <c r="W4" s="4"/>
    </row>
    <row r="5" spans="1:23" ht="15.75" customHeight="1" x14ac:dyDescent="0.5">
      <c r="A5" s="27">
        <v>4</v>
      </c>
      <c r="B5" s="27">
        <f t="shared" si="0"/>
        <v>2</v>
      </c>
      <c r="C5" s="55">
        <f t="shared" si="1"/>
        <v>44999</v>
      </c>
      <c r="D5" s="29">
        <v>31.3</v>
      </c>
      <c r="E5" s="29">
        <v>41.3</v>
      </c>
      <c r="F5" s="29">
        <v>58.5</v>
      </c>
      <c r="G5" s="29">
        <v>12.399999999999995</v>
      </c>
      <c r="H5" s="29">
        <v>197</v>
      </c>
      <c r="I5" s="29">
        <f t="shared" si="3"/>
        <v>31.3</v>
      </c>
      <c r="J5" s="29">
        <f t="shared" si="2"/>
        <v>41.3</v>
      </c>
      <c r="K5" s="29">
        <f t="shared" si="4"/>
        <v>58.5</v>
      </c>
      <c r="L5" s="29">
        <f t="shared" si="5"/>
        <v>12.399999999999995</v>
      </c>
      <c r="M5" s="29">
        <f t="shared" si="6"/>
        <v>197</v>
      </c>
      <c r="N5" s="4"/>
      <c r="O5" s="47" t="s">
        <v>60</v>
      </c>
      <c r="P5" s="44">
        <f>QUARTILE($E$2:$E$201,1)</f>
        <v>10.074999999999999</v>
      </c>
      <c r="Q5" s="44">
        <f>QUARTILE($E$2:$E$201,3)</f>
        <v>36.824999999999996</v>
      </c>
      <c r="R5" s="44">
        <f t="shared" ref="R5:R8" si="7">Q5-P5</f>
        <v>26.749999999999996</v>
      </c>
      <c r="S5" s="44">
        <f t="shared" ref="S5:S8" si="8">P5-1.5*R5</f>
        <v>-30.049999999999994</v>
      </c>
      <c r="T5" s="44">
        <f t="shared" ref="T5:T8" si="9">Q5+1.5*R5</f>
        <v>76.949999999999989</v>
      </c>
      <c r="U5" s="48">
        <v>2</v>
      </c>
      <c r="V5" s="4"/>
      <c r="W5" s="4"/>
    </row>
    <row r="6" spans="1:23" ht="15.75" customHeight="1" x14ac:dyDescent="0.5">
      <c r="A6" s="27">
        <v>5</v>
      </c>
      <c r="B6" s="27">
        <f t="shared" si="0"/>
        <v>3</v>
      </c>
      <c r="C6" s="55">
        <f t="shared" si="1"/>
        <v>45000</v>
      </c>
      <c r="D6" s="29">
        <v>46.160000000000004</v>
      </c>
      <c r="E6" s="29">
        <v>10.8</v>
      </c>
      <c r="F6" s="29">
        <v>58.4</v>
      </c>
      <c r="G6" s="29">
        <v>0.12000000000000455</v>
      </c>
      <c r="H6" s="29">
        <v>137</v>
      </c>
      <c r="I6" s="29">
        <f t="shared" si="3"/>
        <v>46.160000000000004</v>
      </c>
      <c r="J6" s="29">
        <f t="shared" si="2"/>
        <v>10.8</v>
      </c>
      <c r="K6" s="29">
        <f t="shared" si="4"/>
        <v>58.4</v>
      </c>
      <c r="L6" s="29">
        <f t="shared" si="5"/>
        <v>0.12000000000000455</v>
      </c>
      <c r="M6" s="29">
        <f t="shared" si="6"/>
        <v>137</v>
      </c>
      <c r="N6" s="4"/>
      <c r="O6" s="47" t="s">
        <v>61</v>
      </c>
      <c r="P6" s="44">
        <f>QUARTILE($F$2:$F$201,1)</f>
        <v>12.75</v>
      </c>
      <c r="Q6" s="44">
        <f>QUARTILE($F$2:$F$201,3)</f>
        <v>45.1</v>
      </c>
      <c r="R6" s="44">
        <f t="shared" si="7"/>
        <v>32.35</v>
      </c>
      <c r="S6" s="44">
        <f t="shared" si="8"/>
        <v>-35.775000000000006</v>
      </c>
      <c r="T6" s="44">
        <f t="shared" si="9"/>
        <v>93.625</v>
      </c>
      <c r="U6" s="48">
        <v>0</v>
      </c>
      <c r="V6" s="4"/>
      <c r="W6" s="4"/>
    </row>
    <row r="7" spans="1:23" ht="15.75" customHeight="1" x14ac:dyDescent="0.5">
      <c r="A7" s="27">
        <v>6</v>
      </c>
      <c r="B7" s="27">
        <f t="shared" si="0"/>
        <v>4</v>
      </c>
      <c r="C7" s="55">
        <f t="shared" si="1"/>
        <v>45001</v>
      </c>
      <c r="D7" s="29">
        <v>6.74</v>
      </c>
      <c r="E7" s="29">
        <v>48.9</v>
      </c>
      <c r="F7" s="29">
        <v>75</v>
      </c>
      <c r="G7" s="29">
        <v>15.32</v>
      </c>
      <c r="H7" s="29">
        <v>86</v>
      </c>
      <c r="I7" s="29">
        <f t="shared" si="3"/>
        <v>6.74</v>
      </c>
      <c r="J7" s="29">
        <f t="shared" si="2"/>
        <v>48.9</v>
      </c>
      <c r="K7" s="29">
        <f t="shared" si="4"/>
        <v>75</v>
      </c>
      <c r="L7" s="29">
        <f t="shared" si="5"/>
        <v>15.32</v>
      </c>
      <c r="M7" s="29">
        <f t="shared" si="6"/>
        <v>86</v>
      </c>
      <c r="N7" s="4"/>
      <c r="O7" s="47" t="s">
        <v>8</v>
      </c>
      <c r="P7" s="44">
        <f>QUARTILE($G$2:$G$201,1)</f>
        <v>11.175000000000001</v>
      </c>
      <c r="Q7" s="44">
        <f>QUARTILE($G$2:$G$201,3)</f>
        <v>23.407499999999999</v>
      </c>
      <c r="R7" s="44">
        <f t="shared" si="7"/>
        <v>12.232499999999998</v>
      </c>
      <c r="S7" s="44">
        <f t="shared" si="8"/>
        <v>-7.1737499999999947</v>
      </c>
      <c r="T7" s="44">
        <f t="shared" si="9"/>
        <v>41.756249999999994</v>
      </c>
      <c r="U7" s="48">
        <v>6</v>
      </c>
      <c r="V7" s="4"/>
      <c r="W7" s="4"/>
    </row>
    <row r="8" spans="1:23" ht="15.75" customHeight="1" thickBot="1" x14ac:dyDescent="0.55000000000000004">
      <c r="A8" s="27">
        <v>7</v>
      </c>
      <c r="B8" s="27">
        <f t="shared" si="0"/>
        <v>5</v>
      </c>
      <c r="C8" s="55">
        <f t="shared" si="1"/>
        <v>45002</v>
      </c>
      <c r="D8" s="29">
        <v>13.5</v>
      </c>
      <c r="E8" s="29">
        <v>32.799999999999997</v>
      </c>
      <c r="F8" s="29">
        <v>23.5</v>
      </c>
      <c r="G8" s="29">
        <v>12.749999999999998</v>
      </c>
      <c r="H8" s="29">
        <v>123</v>
      </c>
      <c r="I8" s="29">
        <f t="shared" si="3"/>
        <v>13.5</v>
      </c>
      <c r="J8" s="29">
        <f t="shared" si="2"/>
        <v>32.799999999999997</v>
      </c>
      <c r="K8" s="29">
        <f t="shared" si="4"/>
        <v>23.5</v>
      </c>
      <c r="L8" s="29">
        <f t="shared" si="5"/>
        <v>12.749999999999998</v>
      </c>
      <c r="M8" s="29">
        <f t="shared" si="6"/>
        <v>123</v>
      </c>
      <c r="N8" s="4"/>
      <c r="O8" s="49" t="s">
        <v>5</v>
      </c>
      <c r="P8" s="50">
        <f>QUARTILE($H$2:$H$201,1)</f>
        <v>115.5</v>
      </c>
      <c r="Q8" s="50">
        <f>QUARTILE($H$2:$H$201,3)</f>
        <v>186</v>
      </c>
      <c r="R8" s="50">
        <f t="shared" si="7"/>
        <v>70.5</v>
      </c>
      <c r="S8" s="50">
        <f t="shared" si="8"/>
        <v>9.75</v>
      </c>
      <c r="T8" s="50">
        <f t="shared" si="9"/>
        <v>291.75</v>
      </c>
      <c r="U8" s="51">
        <v>2</v>
      </c>
      <c r="V8" s="4"/>
      <c r="W8" s="4"/>
    </row>
    <row r="9" spans="1:23" ht="15.75" customHeight="1" x14ac:dyDescent="0.5">
      <c r="A9" s="27">
        <v>8</v>
      </c>
      <c r="B9" s="27">
        <f t="shared" si="0"/>
        <v>6</v>
      </c>
      <c r="C9" s="55">
        <f t="shared" si="1"/>
        <v>45003</v>
      </c>
      <c r="D9" s="29">
        <v>31.04</v>
      </c>
      <c r="E9" s="29">
        <v>19.600000000000001</v>
      </c>
      <c r="F9" s="29">
        <v>11.6</v>
      </c>
      <c r="G9" s="29">
        <v>17.18</v>
      </c>
      <c r="H9" s="29">
        <v>152</v>
      </c>
      <c r="I9" s="29">
        <f t="shared" si="3"/>
        <v>31.04</v>
      </c>
      <c r="J9" s="29">
        <f t="shared" si="2"/>
        <v>19.600000000000001</v>
      </c>
      <c r="K9" s="29">
        <f t="shared" si="4"/>
        <v>11.6</v>
      </c>
      <c r="L9" s="29">
        <f t="shared" si="5"/>
        <v>17.18</v>
      </c>
      <c r="M9" s="29">
        <f t="shared" si="6"/>
        <v>152</v>
      </c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5.75" customHeight="1" x14ac:dyDescent="0.5">
      <c r="A10" s="27">
        <v>9</v>
      </c>
      <c r="B10" s="27">
        <f t="shared" si="0"/>
        <v>7</v>
      </c>
      <c r="C10" s="55">
        <f t="shared" si="1"/>
        <v>45004</v>
      </c>
      <c r="D10" s="29">
        <v>9.7200000000000006</v>
      </c>
      <c r="E10" s="29">
        <v>2.1</v>
      </c>
      <c r="F10" s="29">
        <v>1</v>
      </c>
      <c r="G10" s="29">
        <v>1.5100000000000002</v>
      </c>
      <c r="H10" s="29">
        <v>54</v>
      </c>
      <c r="I10" s="29">
        <f t="shared" si="3"/>
        <v>9.7200000000000006</v>
      </c>
      <c r="J10" s="29">
        <f t="shared" si="2"/>
        <v>2.1</v>
      </c>
      <c r="K10" s="29">
        <f t="shared" si="4"/>
        <v>1</v>
      </c>
      <c r="L10" s="29">
        <f t="shared" si="5"/>
        <v>1.5100000000000002</v>
      </c>
      <c r="M10" s="29">
        <f t="shared" si="6"/>
        <v>54</v>
      </c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5.75" customHeight="1" thickBot="1" x14ac:dyDescent="0.55000000000000004">
      <c r="A11" s="27">
        <v>10</v>
      </c>
      <c r="B11" s="27">
        <f t="shared" si="0"/>
        <v>1</v>
      </c>
      <c r="C11" s="55">
        <f t="shared" si="1"/>
        <v>45005</v>
      </c>
      <c r="D11" s="29">
        <v>40.96</v>
      </c>
      <c r="E11" s="29">
        <v>2.6</v>
      </c>
      <c r="F11" s="29">
        <v>21.2</v>
      </c>
      <c r="G11" s="29">
        <v>12.8</v>
      </c>
      <c r="H11" s="29">
        <v>119</v>
      </c>
      <c r="I11" s="29">
        <f t="shared" si="3"/>
        <v>40.96</v>
      </c>
      <c r="J11" s="29">
        <f t="shared" si="2"/>
        <v>2.6</v>
      </c>
      <c r="K11" s="29">
        <f t="shared" si="4"/>
        <v>21.2</v>
      </c>
      <c r="L11" s="29">
        <f t="shared" si="5"/>
        <v>12.8</v>
      </c>
      <c r="M11" s="29">
        <f t="shared" si="6"/>
        <v>119</v>
      </c>
      <c r="N11" s="4"/>
      <c r="S11" s="4"/>
      <c r="T11" s="4"/>
      <c r="U11" s="4"/>
      <c r="V11" s="4"/>
      <c r="W11" s="4"/>
    </row>
    <row r="12" spans="1:23" ht="24.4" customHeight="1" x14ac:dyDescent="0.65">
      <c r="A12" s="27">
        <v>11</v>
      </c>
      <c r="B12" s="27">
        <f t="shared" si="0"/>
        <v>2</v>
      </c>
      <c r="C12" s="55">
        <f t="shared" si="1"/>
        <v>45006</v>
      </c>
      <c r="D12" s="29">
        <v>23.22</v>
      </c>
      <c r="E12" s="29">
        <v>5.8</v>
      </c>
      <c r="F12" s="29">
        <v>24.2</v>
      </c>
      <c r="G12" s="29">
        <v>19.829999999999998</v>
      </c>
      <c r="H12" s="29">
        <v>95</v>
      </c>
      <c r="I12" s="29">
        <f t="shared" si="3"/>
        <v>23.22</v>
      </c>
      <c r="J12" s="29">
        <f t="shared" si="2"/>
        <v>5.8</v>
      </c>
      <c r="K12" s="29">
        <f t="shared" si="4"/>
        <v>24.2</v>
      </c>
      <c r="L12" s="29">
        <f t="shared" si="5"/>
        <v>19.829999999999998</v>
      </c>
      <c r="M12" s="29">
        <f t="shared" si="6"/>
        <v>95</v>
      </c>
      <c r="N12" s="4"/>
      <c r="O12" s="123" t="s">
        <v>73</v>
      </c>
      <c r="P12" s="124"/>
      <c r="Q12" s="124"/>
      <c r="R12" s="125"/>
      <c r="S12" s="4"/>
      <c r="T12" s="4"/>
      <c r="U12" s="4"/>
      <c r="V12" s="4"/>
      <c r="W12" s="4"/>
    </row>
    <row r="13" spans="1:23" ht="15.75" customHeight="1" x14ac:dyDescent="0.5">
      <c r="A13" s="27">
        <v>12</v>
      </c>
      <c r="B13" s="27">
        <f t="shared" si="0"/>
        <v>3</v>
      </c>
      <c r="C13" s="55">
        <f t="shared" si="1"/>
        <v>45007</v>
      </c>
      <c r="D13" s="29">
        <v>50.94</v>
      </c>
      <c r="E13" s="29">
        <v>24</v>
      </c>
      <c r="F13" s="29">
        <v>4</v>
      </c>
      <c r="G13" s="29">
        <v>31.869999999999997</v>
      </c>
      <c r="H13" s="29">
        <v>151.5</v>
      </c>
      <c r="I13" s="29">
        <f t="shared" si="3"/>
        <v>50.94</v>
      </c>
      <c r="J13" s="29">
        <f t="shared" si="2"/>
        <v>24</v>
      </c>
      <c r="K13" s="29">
        <f t="shared" si="4"/>
        <v>4</v>
      </c>
      <c r="L13" s="29">
        <f t="shared" si="5"/>
        <v>31.869999999999997</v>
      </c>
      <c r="M13" s="29">
        <f t="shared" si="6"/>
        <v>151.5</v>
      </c>
      <c r="N13" s="4"/>
      <c r="O13" s="45" t="s">
        <v>0</v>
      </c>
      <c r="P13" s="43" t="s">
        <v>70</v>
      </c>
      <c r="Q13" s="43" t="s">
        <v>71</v>
      </c>
      <c r="R13" s="46" t="s">
        <v>72</v>
      </c>
      <c r="S13" s="4"/>
      <c r="T13" s="4"/>
      <c r="U13" s="4"/>
      <c r="V13" s="4"/>
      <c r="W13" s="4"/>
    </row>
    <row r="14" spans="1:23" ht="15.75" customHeight="1" x14ac:dyDescent="0.5">
      <c r="A14" s="27">
        <v>13</v>
      </c>
      <c r="B14" s="27">
        <f t="shared" si="0"/>
        <v>4</v>
      </c>
      <c r="C14" s="55">
        <f t="shared" si="1"/>
        <v>45008</v>
      </c>
      <c r="D14" s="29">
        <v>10.76</v>
      </c>
      <c r="E14" s="29">
        <v>35.1</v>
      </c>
      <c r="F14" s="29">
        <v>65.900000000000006</v>
      </c>
      <c r="G14" s="29">
        <v>17.100000000000001</v>
      </c>
      <c r="H14" s="29">
        <v>95</v>
      </c>
      <c r="I14" s="29">
        <f t="shared" si="3"/>
        <v>10.76</v>
      </c>
      <c r="J14" s="29">
        <f t="shared" si="2"/>
        <v>35.1</v>
      </c>
      <c r="K14" s="29">
        <f t="shared" si="4"/>
        <v>65.900000000000006</v>
      </c>
      <c r="L14" s="29">
        <f t="shared" si="5"/>
        <v>17.100000000000001</v>
      </c>
      <c r="M14" s="29">
        <f t="shared" si="6"/>
        <v>95</v>
      </c>
      <c r="N14" s="4"/>
      <c r="O14" s="47">
        <v>82</v>
      </c>
      <c r="P14" s="44" t="s">
        <v>49</v>
      </c>
      <c r="Q14" s="44">
        <v>152</v>
      </c>
      <c r="R14" s="52">
        <f>T4</f>
        <v>96.179999999999993</v>
      </c>
      <c r="S14" s="4"/>
      <c r="T14" s="4"/>
      <c r="U14" s="4"/>
      <c r="V14" s="4"/>
      <c r="W14" s="4"/>
    </row>
    <row r="15" spans="1:23" ht="15.75" customHeight="1" thickBot="1" x14ac:dyDescent="0.55000000000000004">
      <c r="A15" s="27">
        <v>14</v>
      </c>
      <c r="B15" s="27">
        <f t="shared" si="0"/>
        <v>5</v>
      </c>
      <c r="C15" s="55">
        <f t="shared" si="1"/>
        <v>45009</v>
      </c>
      <c r="D15" s="29">
        <v>26.5</v>
      </c>
      <c r="E15" s="29">
        <v>7.6</v>
      </c>
      <c r="F15" s="29">
        <v>7.2</v>
      </c>
      <c r="G15" s="29">
        <v>17.100000000000001</v>
      </c>
      <c r="H15" s="29">
        <v>113</v>
      </c>
      <c r="I15" s="29">
        <f t="shared" si="3"/>
        <v>26.5</v>
      </c>
      <c r="J15" s="29">
        <f t="shared" si="2"/>
        <v>7.6</v>
      </c>
      <c r="K15" s="29">
        <f t="shared" si="4"/>
        <v>7.2</v>
      </c>
      <c r="L15" s="29">
        <f t="shared" si="5"/>
        <v>17.100000000000001</v>
      </c>
      <c r="M15" s="29">
        <f t="shared" si="6"/>
        <v>113</v>
      </c>
      <c r="N15" s="4"/>
      <c r="O15" s="49">
        <v>93</v>
      </c>
      <c r="P15" s="50" t="s">
        <v>5</v>
      </c>
      <c r="Q15" s="50">
        <v>811</v>
      </c>
      <c r="R15" s="53">
        <f>T8</f>
        <v>291.75</v>
      </c>
      <c r="S15" s="4"/>
      <c r="T15" s="4"/>
      <c r="U15" s="4"/>
      <c r="V15" s="4"/>
      <c r="W15" s="4"/>
    </row>
    <row r="16" spans="1:23" ht="15.75" customHeight="1" x14ac:dyDescent="0.5">
      <c r="A16" s="27">
        <v>15</v>
      </c>
      <c r="B16" s="27">
        <f t="shared" si="0"/>
        <v>6</v>
      </c>
      <c r="C16" s="55">
        <f t="shared" si="1"/>
        <v>45010</v>
      </c>
      <c r="D16" s="29">
        <v>44.82</v>
      </c>
      <c r="E16" s="29">
        <v>32.9</v>
      </c>
      <c r="F16" s="29">
        <v>46</v>
      </c>
      <c r="G16" s="29">
        <v>18.459999999999997</v>
      </c>
      <c r="H16" s="29">
        <v>191</v>
      </c>
      <c r="I16" s="29">
        <f t="shared" si="3"/>
        <v>44.82</v>
      </c>
      <c r="J16" s="29">
        <f t="shared" si="2"/>
        <v>32.9</v>
      </c>
      <c r="K16" s="29">
        <f t="shared" si="4"/>
        <v>46</v>
      </c>
      <c r="L16" s="29">
        <f t="shared" si="5"/>
        <v>18.459999999999997</v>
      </c>
      <c r="M16" s="29">
        <f t="shared" si="6"/>
        <v>191</v>
      </c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 customHeight="1" x14ac:dyDescent="0.5">
      <c r="A17" s="27">
        <v>16</v>
      </c>
      <c r="B17" s="27">
        <f t="shared" si="0"/>
        <v>7</v>
      </c>
      <c r="C17" s="55">
        <f t="shared" si="1"/>
        <v>45011</v>
      </c>
      <c r="D17" s="29">
        <v>42.08</v>
      </c>
      <c r="E17" s="29">
        <v>47.7</v>
      </c>
      <c r="F17" s="29">
        <v>52.9</v>
      </c>
      <c r="G17" s="29">
        <v>22.23</v>
      </c>
      <c r="H17" s="29">
        <v>240</v>
      </c>
      <c r="I17" s="29">
        <f t="shared" si="3"/>
        <v>42.08</v>
      </c>
      <c r="J17" s="29">
        <f t="shared" si="2"/>
        <v>47.7</v>
      </c>
      <c r="K17" s="29">
        <f t="shared" si="4"/>
        <v>52.9</v>
      </c>
      <c r="L17" s="29">
        <f t="shared" si="5"/>
        <v>22.23</v>
      </c>
      <c r="M17" s="29">
        <f t="shared" si="6"/>
        <v>240</v>
      </c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 x14ac:dyDescent="0.5">
      <c r="A18" s="27">
        <v>17</v>
      </c>
      <c r="B18" s="27">
        <f t="shared" si="0"/>
        <v>1</v>
      </c>
      <c r="C18" s="55">
        <f t="shared" si="1"/>
        <v>45012</v>
      </c>
      <c r="D18" s="29">
        <v>89.06</v>
      </c>
      <c r="E18" s="29">
        <v>36.6</v>
      </c>
      <c r="F18" s="29">
        <v>93.625</v>
      </c>
      <c r="G18" s="29">
        <v>23.379999999999995</v>
      </c>
      <c r="H18" s="29">
        <v>135</v>
      </c>
      <c r="I18" s="29">
        <f t="shared" si="3"/>
        <v>89.06</v>
      </c>
      <c r="J18" s="29">
        <f t="shared" si="2"/>
        <v>36.6</v>
      </c>
      <c r="K18" s="29">
        <f t="shared" si="4"/>
        <v>93.625</v>
      </c>
      <c r="L18" s="29">
        <f t="shared" si="5"/>
        <v>23.379999999999995</v>
      </c>
      <c r="M18" s="29">
        <f t="shared" si="6"/>
        <v>135</v>
      </c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 x14ac:dyDescent="0.5">
      <c r="A19" s="27">
        <v>18</v>
      </c>
      <c r="B19" s="27">
        <f t="shared" si="0"/>
        <v>2</v>
      </c>
      <c r="C19" s="55">
        <f t="shared" si="1"/>
        <v>45013</v>
      </c>
      <c r="D19" s="29">
        <v>62.279999999999994</v>
      </c>
      <c r="E19" s="29">
        <v>39.6</v>
      </c>
      <c r="F19" s="29">
        <v>55.8</v>
      </c>
      <c r="G19" s="29">
        <v>25.619999999999997</v>
      </c>
      <c r="H19" s="29">
        <v>258</v>
      </c>
      <c r="I19" s="29">
        <f t="shared" si="3"/>
        <v>62.279999999999994</v>
      </c>
      <c r="J19" s="29">
        <f t="shared" si="2"/>
        <v>39.6</v>
      </c>
      <c r="K19" s="29">
        <f t="shared" si="4"/>
        <v>55.8</v>
      </c>
      <c r="L19" s="29">
        <f t="shared" si="5"/>
        <v>25.619999999999997</v>
      </c>
      <c r="M19" s="29">
        <f t="shared" si="6"/>
        <v>258</v>
      </c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 x14ac:dyDescent="0.5">
      <c r="A20" s="27">
        <v>19</v>
      </c>
      <c r="B20" s="27">
        <f t="shared" si="0"/>
        <v>3</v>
      </c>
      <c r="C20" s="55">
        <f t="shared" si="1"/>
        <v>45014</v>
      </c>
      <c r="D20" s="29">
        <v>14.84</v>
      </c>
      <c r="E20" s="29">
        <v>20.5</v>
      </c>
      <c r="F20" s="29">
        <v>18.3</v>
      </c>
      <c r="G20" s="29">
        <v>9.8500000000000014</v>
      </c>
      <c r="H20" s="29">
        <v>127</v>
      </c>
      <c r="I20" s="29">
        <f t="shared" si="3"/>
        <v>14.84</v>
      </c>
      <c r="J20" s="29">
        <f t="shared" si="2"/>
        <v>20.5</v>
      </c>
      <c r="K20" s="29">
        <f t="shared" si="4"/>
        <v>18.3</v>
      </c>
      <c r="L20" s="29">
        <f t="shared" si="5"/>
        <v>9.8500000000000014</v>
      </c>
      <c r="M20" s="29">
        <f t="shared" si="6"/>
        <v>127</v>
      </c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 x14ac:dyDescent="0.5">
      <c r="A21" s="27">
        <v>20</v>
      </c>
      <c r="B21" s="27">
        <f t="shared" si="0"/>
        <v>4</v>
      </c>
      <c r="C21" s="55">
        <f t="shared" si="1"/>
        <v>45015</v>
      </c>
      <c r="D21" s="29">
        <v>32.46</v>
      </c>
      <c r="E21" s="29">
        <v>23.9</v>
      </c>
      <c r="F21" s="29">
        <v>19.100000000000001</v>
      </c>
      <c r="G21" s="29">
        <v>19.04</v>
      </c>
      <c r="H21" s="29">
        <v>148</v>
      </c>
      <c r="I21" s="29">
        <f t="shared" si="3"/>
        <v>32.46</v>
      </c>
      <c r="J21" s="29">
        <f t="shared" si="2"/>
        <v>23.9</v>
      </c>
      <c r="K21" s="29">
        <f t="shared" si="4"/>
        <v>19.100000000000001</v>
      </c>
      <c r="L21" s="29">
        <f t="shared" si="5"/>
        <v>19.04</v>
      </c>
      <c r="M21" s="29">
        <f t="shared" si="6"/>
        <v>148</v>
      </c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 x14ac:dyDescent="0.5">
      <c r="A22" s="27">
        <v>21</v>
      </c>
      <c r="B22" s="27">
        <f t="shared" si="0"/>
        <v>5</v>
      </c>
      <c r="C22" s="55">
        <f t="shared" si="1"/>
        <v>45016</v>
      </c>
      <c r="D22" s="29">
        <v>46.68</v>
      </c>
      <c r="E22" s="29">
        <v>27.7</v>
      </c>
      <c r="F22" s="29">
        <v>53.4</v>
      </c>
      <c r="G22" s="29">
        <v>14.329999999999998</v>
      </c>
      <c r="H22" s="29">
        <v>188</v>
      </c>
      <c r="I22" s="29">
        <f t="shared" si="3"/>
        <v>46.68</v>
      </c>
      <c r="J22" s="29">
        <f t="shared" si="2"/>
        <v>27.7</v>
      </c>
      <c r="K22" s="29">
        <f t="shared" si="4"/>
        <v>53.4</v>
      </c>
      <c r="L22" s="29">
        <f t="shared" si="5"/>
        <v>14.329999999999998</v>
      </c>
      <c r="M22" s="29">
        <f t="shared" si="6"/>
        <v>188</v>
      </c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 x14ac:dyDescent="0.5">
      <c r="A23" s="27">
        <v>22</v>
      </c>
      <c r="B23" s="27">
        <f t="shared" si="0"/>
        <v>6</v>
      </c>
      <c r="C23" s="55">
        <f t="shared" si="1"/>
        <v>45017</v>
      </c>
      <c r="D23" s="29">
        <v>48.480000000000004</v>
      </c>
      <c r="E23" s="29">
        <v>123</v>
      </c>
      <c r="F23" s="29">
        <v>23.5</v>
      </c>
      <c r="G23" s="29">
        <v>16.89</v>
      </c>
      <c r="H23" s="29">
        <v>127</v>
      </c>
      <c r="I23" s="29">
        <f t="shared" si="3"/>
        <v>48.480000000000004</v>
      </c>
      <c r="J23" s="29">
        <f t="shared" si="2"/>
        <v>76.949999999999989</v>
      </c>
      <c r="K23" s="29">
        <f t="shared" si="4"/>
        <v>23.5</v>
      </c>
      <c r="L23" s="29">
        <f t="shared" si="5"/>
        <v>16.89</v>
      </c>
      <c r="M23" s="29">
        <f t="shared" si="6"/>
        <v>127</v>
      </c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 x14ac:dyDescent="0.5">
      <c r="A24" s="27">
        <v>23</v>
      </c>
      <c r="B24" s="27">
        <f t="shared" si="0"/>
        <v>7</v>
      </c>
      <c r="C24" s="55">
        <f t="shared" si="1"/>
        <v>45018</v>
      </c>
      <c r="D24" s="29">
        <v>11.64</v>
      </c>
      <c r="E24" s="29">
        <v>15.9</v>
      </c>
      <c r="F24" s="29">
        <v>49.6</v>
      </c>
      <c r="G24" s="29">
        <v>9.4299999999999962</v>
      </c>
      <c r="H24" s="29">
        <v>170.89285714285714</v>
      </c>
      <c r="I24" s="29">
        <f t="shared" si="3"/>
        <v>11.64</v>
      </c>
      <c r="J24" s="29">
        <f t="shared" si="2"/>
        <v>15.9</v>
      </c>
      <c r="K24" s="29">
        <f t="shared" si="4"/>
        <v>49.6</v>
      </c>
      <c r="L24" s="29">
        <f t="shared" si="5"/>
        <v>9.4299999999999962</v>
      </c>
      <c r="M24" s="29">
        <f t="shared" si="6"/>
        <v>170.89285714285714</v>
      </c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 x14ac:dyDescent="0.5">
      <c r="A25" s="27">
        <v>24</v>
      </c>
      <c r="B25" s="27">
        <f t="shared" si="0"/>
        <v>1</v>
      </c>
      <c r="C25" s="55">
        <f t="shared" si="1"/>
        <v>45019</v>
      </c>
      <c r="D25" s="29">
        <v>49.660000000000004</v>
      </c>
      <c r="E25" s="29">
        <v>16.899999999999999</v>
      </c>
      <c r="F25" s="29">
        <v>26.2</v>
      </c>
      <c r="G25" s="29">
        <v>20.8</v>
      </c>
      <c r="H25" s="29">
        <v>175</v>
      </c>
      <c r="I25" s="29">
        <f t="shared" si="3"/>
        <v>49.660000000000004</v>
      </c>
      <c r="J25" s="29">
        <f t="shared" si="2"/>
        <v>16.899999999999999</v>
      </c>
      <c r="K25" s="29">
        <f t="shared" si="4"/>
        <v>26.2</v>
      </c>
      <c r="L25" s="29">
        <f t="shared" si="5"/>
        <v>20.8</v>
      </c>
      <c r="M25" s="29">
        <f t="shared" si="6"/>
        <v>175</v>
      </c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 x14ac:dyDescent="0.5">
      <c r="A26" s="27">
        <v>25</v>
      </c>
      <c r="B26" s="27">
        <f t="shared" si="0"/>
        <v>2</v>
      </c>
      <c r="C26" s="55">
        <f t="shared" si="1"/>
        <v>45020</v>
      </c>
      <c r="D26" s="29">
        <v>20.46</v>
      </c>
      <c r="E26" s="29">
        <v>12.6</v>
      </c>
      <c r="F26" s="29">
        <v>18.3</v>
      </c>
      <c r="G26" s="29">
        <v>5.2099999999999991</v>
      </c>
      <c r="H26" s="29">
        <v>110</v>
      </c>
      <c r="I26" s="29">
        <f t="shared" si="3"/>
        <v>20.46</v>
      </c>
      <c r="J26" s="29">
        <f t="shared" si="2"/>
        <v>12.6</v>
      </c>
      <c r="K26" s="29">
        <f t="shared" si="4"/>
        <v>18.3</v>
      </c>
      <c r="L26" s="29">
        <f t="shared" si="5"/>
        <v>5.2099999999999991</v>
      </c>
      <c r="M26" s="29">
        <f t="shared" si="6"/>
        <v>110</v>
      </c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 x14ac:dyDescent="0.5">
      <c r="A27" s="27">
        <v>26</v>
      </c>
      <c r="B27" s="27">
        <f t="shared" si="0"/>
        <v>3</v>
      </c>
      <c r="C27" s="55">
        <f t="shared" si="1"/>
        <v>45021</v>
      </c>
      <c r="D27" s="29">
        <v>59.58</v>
      </c>
      <c r="E27" s="29">
        <v>3.5</v>
      </c>
      <c r="F27" s="29">
        <v>19.5</v>
      </c>
      <c r="G27" s="29">
        <v>20.239999999999998</v>
      </c>
      <c r="H27" s="29">
        <v>139</v>
      </c>
      <c r="I27" s="29">
        <f t="shared" si="3"/>
        <v>59.58</v>
      </c>
      <c r="J27" s="29">
        <f t="shared" si="2"/>
        <v>3.5</v>
      </c>
      <c r="K27" s="29">
        <f t="shared" si="4"/>
        <v>19.5</v>
      </c>
      <c r="L27" s="29">
        <f t="shared" si="5"/>
        <v>20.239999999999998</v>
      </c>
      <c r="M27" s="29">
        <f t="shared" si="6"/>
        <v>139</v>
      </c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 x14ac:dyDescent="0.5">
      <c r="A28" s="27">
        <v>27</v>
      </c>
      <c r="B28" s="27">
        <f t="shared" si="0"/>
        <v>4</v>
      </c>
      <c r="C28" s="55">
        <f t="shared" si="1"/>
        <v>45022</v>
      </c>
      <c r="D28" s="29">
        <v>38.58</v>
      </c>
      <c r="E28" s="29">
        <v>29.3</v>
      </c>
      <c r="F28" s="29">
        <v>12.6</v>
      </c>
      <c r="G28" s="29">
        <v>23.900000000000002</v>
      </c>
      <c r="H28" s="29">
        <v>167</v>
      </c>
      <c r="I28" s="29">
        <f t="shared" si="3"/>
        <v>38.58</v>
      </c>
      <c r="J28" s="29">
        <f t="shared" si="2"/>
        <v>29.3</v>
      </c>
      <c r="K28" s="29">
        <f t="shared" si="4"/>
        <v>12.6</v>
      </c>
      <c r="L28" s="29">
        <f t="shared" si="5"/>
        <v>23.900000000000002</v>
      </c>
      <c r="M28" s="29">
        <f t="shared" si="6"/>
        <v>167</v>
      </c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 x14ac:dyDescent="0.5">
      <c r="A29" s="27">
        <v>28</v>
      </c>
      <c r="B29" s="27">
        <f t="shared" si="0"/>
        <v>5</v>
      </c>
      <c r="C29" s="55">
        <f t="shared" si="1"/>
        <v>45023</v>
      </c>
      <c r="D29" s="29">
        <v>49.019999999999996</v>
      </c>
      <c r="E29" s="29">
        <v>16.7</v>
      </c>
      <c r="F29" s="29">
        <v>22.9</v>
      </c>
      <c r="G29" s="29">
        <v>23.2</v>
      </c>
      <c r="H29" s="29">
        <v>168</v>
      </c>
      <c r="I29" s="29">
        <f t="shared" si="3"/>
        <v>49.019999999999996</v>
      </c>
      <c r="J29" s="29">
        <f t="shared" si="2"/>
        <v>16.7</v>
      </c>
      <c r="K29" s="29">
        <f t="shared" si="4"/>
        <v>22.9</v>
      </c>
      <c r="L29" s="29">
        <f t="shared" si="5"/>
        <v>23.2</v>
      </c>
      <c r="M29" s="29">
        <f t="shared" si="6"/>
        <v>168</v>
      </c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 x14ac:dyDescent="0.5">
      <c r="A30" s="27">
        <v>29</v>
      </c>
      <c r="B30" s="27">
        <f t="shared" si="0"/>
        <v>6</v>
      </c>
      <c r="C30" s="55">
        <f t="shared" si="1"/>
        <v>45024</v>
      </c>
      <c r="D30" s="29">
        <v>52.760000000000005</v>
      </c>
      <c r="E30" s="29">
        <v>27.1</v>
      </c>
      <c r="F30" s="29">
        <v>22.9</v>
      </c>
      <c r="G30" s="29">
        <v>29.270000000000007</v>
      </c>
      <c r="H30" s="29">
        <v>199</v>
      </c>
      <c r="I30" s="29">
        <f t="shared" si="3"/>
        <v>52.760000000000005</v>
      </c>
      <c r="J30" s="29">
        <f t="shared" si="2"/>
        <v>27.1</v>
      </c>
      <c r="K30" s="29">
        <f t="shared" si="4"/>
        <v>22.9</v>
      </c>
      <c r="L30" s="29">
        <f t="shared" si="5"/>
        <v>29.270000000000007</v>
      </c>
      <c r="M30" s="29">
        <f t="shared" si="6"/>
        <v>199</v>
      </c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 x14ac:dyDescent="0.5">
      <c r="A31" s="27">
        <v>30</v>
      </c>
      <c r="B31" s="27">
        <f t="shared" si="0"/>
        <v>7</v>
      </c>
      <c r="C31" s="55">
        <f t="shared" si="1"/>
        <v>45025</v>
      </c>
      <c r="D31" s="29">
        <v>15.12</v>
      </c>
      <c r="E31" s="29">
        <v>16</v>
      </c>
      <c r="F31" s="29">
        <v>40.799999999999997</v>
      </c>
      <c r="G31" s="29">
        <v>18.739999999999998</v>
      </c>
      <c r="H31" s="29">
        <v>123</v>
      </c>
      <c r="I31" s="29">
        <f t="shared" si="3"/>
        <v>15.12</v>
      </c>
      <c r="J31" s="29">
        <f t="shared" si="2"/>
        <v>16</v>
      </c>
      <c r="K31" s="29">
        <f t="shared" si="4"/>
        <v>40.799999999999997</v>
      </c>
      <c r="L31" s="29">
        <f t="shared" si="5"/>
        <v>18.739999999999998</v>
      </c>
      <c r="M31" s="29">
        <f t="shared" si="6"/>
        <v>123</v>
      </c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 x14ac:dyDescent="0.5">
      <c r="A32" s="27">
        <v>31</v>
      </c>
      <c r="B32" s="27">
        <f t="shared" si="0"/>
        <v>1</v>
      </c>
      <c r="C32" s="55">
        <f t="shared" si="1"/>
        <v>45026</v>
      </c>
      <c r="D32" s="29">
        <v>59.58</v>
      </c>
      <c r="E32" s="29">
        <v>28.3</v>
      </c>
      <c r="F32" s="29">
        <v>43.2</v>
      </c>
      <c r="G32" s="29">
        <v>26.159999999999997</v>
      </c>
      <c r="H32" s="29">
        <v>231</v>
      </c>
      <c r="I32" s="29">
        <f t="shared" si="3"/>
        <v>59.58</v>
      </c>
      <c r="J32" s="29">
        <f t="shared" si="2"/>
        <v>28.3</v>
      </c>
      <c r="K32" s="29">
        <f t="shared" si="4"/>
        <v>43.2</v>
      </c>
      <c r="L32" s="29">
        <f t="shared" si="5"/>
        <v>26.159999999999997</v>
      </c>
      <c r="M32" s="29">
        <f t="shared" si="6"/>
        <v>231</v>
      </c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 x14ac:dyDescent="0.5">
      <c r="A33" s="27">
        <v>32</v>
      </c>
      <c r="B33" s="27">
        <f t="shared" si="0"/>
        <v>2</v>
      </c>
      <c r="C33" s="55">
        <f t="shared" si="1"/>
        <v>45027</v>
      </c>
      <c r="D33" s="29">
        <v>92.987500000000011</v>
      </c>
      <c r="E33" s="29">
        <v>17.399999999999999</v>
      </c>
      <c r="F33" s="29">
        <v>38.6</v>
      </c>
      <c r="G33" s="29">
        <v>37.253750000000011</v>
      </c>
      <c r="H33" s="29">
        <v>126</v>
      </c>
      <c r="I33" s="29">
        <f t="shared" si="3"/>
        <v>92.987500000000011</v>
      </c>
      <c r="J33" s="29">
        <f t="shared" si="2"/>
        <v>17.399999999999999</v>
      </c>
      <c r="K33" s="29">
        <f t="shared" si="4"/>
        <v>38.6</v>
      </c>
      <c r="L33" s="29">
        <f t="shared" si="5"/>
        <v>37.253750000000011</v>
      </c>
      <c r="M33" s="29">
        <f t="shared" si="6"/>
        <v>126</v>
      </c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 x14ac:dyDescent="0.5">
      <c r="A34" s="27">
        <v>33</v>
      </c>
      <c r="B34" s="27">
        <f t="shared" ref="B34:B65" si="10">WEEKDAY(C34,2)</f>
        <v>3</v>
      </c>
      <c r="C34" s="55">
        <f t="shared" ref="C34:C65" si="11">+C35-1</f>
        <v>45028</v>
      </c>
      <c r="D34" s="29">
        <v>20.440000000000001</v>
      </c>
      <c r="E34" s="29">
        <v>1.5</v>
      </c>
      <c r="F34" s="29">
        <v>30</v>
      </c>
      <c r="G34" s="29">
        <v>18.47</v>
      </c>
      <c r="H34" s="29">
        <v>112</v>
      </c>
      <c r="I34" s="29">
        <f t="shared" si="3"/>
        <v>20.440000000000001</v>
      </c>
      <c r="J34" s="29">
        <f t="shared" ref="J34:J66" si="12">IF(E34&gt;T$5,T$5,E34)</f>
        <v>1.5</v>
      </c>
      <c r="K34" s="29">
        <f t="shared" si="4"/>
        <v>30</v>
      </c>
      <c r="L34" s="29">
        <f t="shared" si="5"/>
        <v>18.47</v>
      </c>
      <c r="M34" s="29">
        <f t="shared" si="6"/>
        <v>112</v>
      </c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 x14ac:dyDescent="0.5">
      <c r="A35" s="27">
        <v>34</v>
      </c>
      <c r="B35" s="27">
        <f t="shared" si="10"/>
        <v>4</v>
      </c>
      <c r="C35" s="55">
        <f t="shared" si="11"/>
        <v>45029</v>
      </c>
      <c r="D35" s="29">
        <v>61.120000000000005</v>
      </c>
      <c r="E35" s="29">
        <v>20</v>
      </c>
      <c r="F35" s="29">
        <v>0.3</v>
      </c>
      <c r="G35" s="29">
        <v>36.440000000000005</v>
      </c>
      <c r="H35" s="29">
        <v>184</v>
      </c>
      <c r="I35" s="29">
        <f t="shared" si="3"/>
        <v>61.120000000000005</v>
      </c>
      <c r="J35" s="29">
        <f t="shared" si="12"/>
        <v>20</v>
      </c>
      <c r="K35" s="29">
        <f t="shared" si="4"/>
        <v>0.3</v>
      </c>
      <c r="L35" s="29">
        <f t="shared" si="5"/>
        <v>36.440000000000005</v>
      </c>
      <c r="M35" s="29">
        <f t="shared" si="6"/>
        <v>184</v>
      </c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 x14ac:dyDescent="0.5">
      <c r="A36" s="27">
        <v>35</v>
      </c>
      <c r="B36" s="27">
        <f t="shared" si="10"/>
        <v>5</v>
      </c>
      <c r="C36" s="55">
        <f t="shared" si="11"/>
        <v>45030</v>
      </c>
      <c r="D36" s="29">
        <v>24.14</v>
      </c>
      <c r="E36" s="29">
        <v>1.4</v>
      </c>
      <c r="F36" s="29">
        <v>7.4</v>
      </c>
      <c r="G36" s="29">
        <v>7.3099999999999987</v>
      </c>
      <c r="H36" s="29">
        <v>91.5</v>
      </c>
      <c r="I36" s="29">
        <f t="shared" si="3"/>
        <v>24.14</v>
      </c>
      <c r="J36" s="29">
        <f t="shared" si="12"/>
        <v>1.4</v>
      </c>
      <c r="K36" s="29">
        <f t="shared" si="4"/>
        <v>7.4</v>
      </c>
      <c r="L36" s="29">
        <f t="shared" si="5"/>
        <v>7.3099999999999987</v>
      </c>
      <c r="M36" s="29">
        <f t="shared" si="6"/>
        <v>91.5</v>
      </c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 x14ac:dyDescent="0.5">
      <c r="A37" s="27">
        <v>36</v>
      </c>
      <c r="B37" s="27">
        <f t="shared" si="10"/>
        <v>6</v>
      </c>
      <c r="C37" s="55">
        <f t="shared" si="11"/>
        <v>45031</v>
      </c>
      <c r="D37" s="29">
        <v>62.14</v>
      </c>
      <c r="E37" s="29">
        <v>4.0999999999999996</v>
      </c>
      <c r="F37" s="29">
        <v>8.5</v>
      </c>
      <c r="G37" s="29">
        <v>27.72</v>
      </c>
      <c r="H37" s="29">
        <v>129</v>
      </c>
      <c r="I37" s="29">
        <f t="shared" si="3"/>
        <v>62.14</v>
      </c>
      <c r="J37" s="29">
        <f t="shared" si="12"/>
        <v>4.0999999999999996</v>
      </c>
      <c r="K37" s="29">
        <f t="shared" si="4"/>
        <v>8.5</v>
      </c>
      <c r="L37" s="29">
        <f t="shared" si="5"/>
        <v>27.72</v>
      </c>
      <c r="M37" s="29">
        <f t="shared" si="6"/>
        <v>129</v>
      </c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 x14ac:dyDescent="0.5">
      <c r="A38" s="27">
        <v>37</v>
      </c>
      <c r="B38" s="27">
        <f t="shared" si="10"/>
        <v>7</v>
      </c>
      <c r="C38" s="55">
        <f t="shared" si="11"/>
        <v>45032</v>
      </c>
      <c r="D38" s="29">
        <v>56.379999999999995</v>
      </c>
      <c r="E38" s="29">
        <v>43.8</v>
      </c>
      <c r="F38" s="29">
        <v>5</v>
      </c>
      <c r="G38" s="29">
        <v>46.589999999999996</v>
      </c>
      <c r="H38" s="29">
        <v>256</v>
      </c>
      <c r="I38" s="29">
        <f t="shared" si="3"/>
        <v>56.379999999999995</v>
      </c>
      <c r="J38" s="29">
        <f t="shared" si="12"/>
        <v>43.8</v>
      </c>
      <c r="K38" s="29">
        <f t="shared" si="4"/>
        <v>5</v>
      </c>
      <c r="L38" s="29">
        <f t="shared" si="5"/>
        <v>41.756249999999994</v>
      </c>
      <c r="M38" s="29">
        <f t="shared" si="6"/>
        <v>256</v>
      </c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 x14ac:dyDescent="0.5">
      <c r="A39" s="27">
        <v>38</v>
      </c>
      <c r="B39" s="27">
        <f t="shared" si="10"/>
        <v>1</v>
      </c>
      <c r="C39" s="55">
        <f t="shared" si="11"/>
        <v>45033</v>
      </c>
      <c r="D39" s="29">
        <v>24.94</v>
      </c>
      <c r="E39" s="29">
        <v>49.4</v>
      </c>
      <c r="F39" s="29">
        <v>45.7</v>
      </c>
      <c r="G39" s="29">
        <v>13.89</v>
      </c>
      <c r="H39" s="29">
        <v>152</v>
      </c>
      <c r="I39" s="29">
        <f t="shared" si="3"/>
        <v>24.94</v>
      </c>
      <c r="J39" s="29">
        <f t="shared" si="12"/>
        <v>49.4</v>
      </c>
      <c r="K39" s="29">
        <f t="shared" si="4"/>
        <v>45.7</v>
      </c>
      <c r="L39" s="29">
        <f t="shared" si="5"/>
        <v>13.89</v>
      </c>
      <c r="M39" s="29">
        <f t="shared" si="6"/>
        <v>152</v>
      </c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 x14ac:dyDescent="0.5">
      <c r="A40" s="27">
        <v>39</v>
      </c>
      <c r="B40" s="27">
        <f t="shared" si="10"/>
        <v>2</v>
      </c>
      <c r="C40" s="55">
        <f t="shared" si="11"/>
        <v>45034</v>
      </c>
      <c r="D40" s="29">
        <v>14.620000000000001</v>
      </c>
      <c r="E40" s="29">
        <v>26.7</v>
      </c>
      <c r="F40" s="29">
        <v>35.1</v>
      </c>
      <c r="G40" s="29">
        <v>3.6199999999999992</v>
      </c>
      <c r="H40" s="29">
        <v>114</v>
      </c>
      <c r="I40" s="29">
        <f t="shared" si="3"/>
        <v>14.620000000000001</v>
      </c>
      <c r="J40" s="29">
        <f t="shared" si="12"/>
        <v>26.7</v>
      </c>
      <c r="K40" s="29">
        <f t="shared" si="4"/>
        <v>35.1</v>
      </c>
      <c r="L40" s="29">
        <f t="shared" si="5"/>
        <v>3.6199999999999992</v>
      </c>
      <c r="M40" s="29">
        <f t="shared" si="6"/>
        <v>114</v>
      </c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 x14ac:dyDescent="0.5">
      <c r="A41" s="27">
        <v>40</v>
      </c>
      <c r="B41" s="27">
        <f t="shared" si="10"/>
        <v>3</v>
      </c>
      <c r="C41" s="55">
        <f t="shared" si="11"/>
        <v>45035</v>
      </c>
      <c r="D41" s="29">
        <v>53.6</v>
      </c>
      <c r="E41" s="29">
        <v>37.700000000000003</v>
      </c>
      <c r="F41" s="29">
        <v>32</v>
      </c>
      <c r="G41" s="29">
        <v>28.850000000000005</v>
      </c>
      <c r="H41" s="29">
        <v>230</v>
      </c>
      <c r="I41" s="29">
        <f t="shared" si="3"/>
        <v>53.6</v>
      </c>
      <c r="J41" s="29">
        <f t="shared" si="12"/>
        <v>37.700000000000003</v>
      </c>
      <c r="K41" s="29">
        <f t="shared" si="4"/>
        <v>32</v>
      </c>
      <c r="L41" s="29">
        <f t="shared" si="5"/>
        <v>28.850000000000005</v>
      </c>
      <c r="M41" s="29">
        <f t="shared" si="6"/>
        <v>230</v>
      </c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 x14ac:dyDescent="0.5">
      <c r="A42" s="27">
        <v>41</v>
      </c>
      <c r="B42" s="27">
        <f t="shared" si="10"/>
        <v>4</v>
      </c>
      <c r="C42" s="55">
        <f t="shared" si="11"/>
        <v>45036</v>
      </c>
      <c r="D42" s="29">
        <v>45.5</v>
      </c>
      <c r="E42" s="29">
        <v>22.3</v>
      </c>
      <c r="F42" s="29">
        <v>31.6</v>
      </c>
      <c r="G42" s="29">
        <v>18.759999999999998</v>
      </c>
      <c r="H42" s="29">
        <v>179</v>
      </c>
      <c r="I42" s="29">
        <f t="shared" si="3"/>
        <v>45.5</v>
      </c>
      <c r="J42" s="29">
        <f t="shared" si="12"/>
        <v>22.3</v>
      </c>
      <c r="K42" s="29">
        <f t="shared" si="4"/>
        <v>31.6</v>
      </c>
      <c r="L42" s="29">
        <f t="shared" si="5"/>
        <v>18.759999999999998</v>
      </c>
      <c r="M42" s="29">
        <f t="shared" si="6"/>
        <v>179</v>
      </c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 x14ac:dyDescent="0.5">
      <c r="A43" s="27">
        <v>42</v>
      </c>
      <c r="B43" s="27">
        <f t="shared" si="10"/>
        <v>5</v>
      </c>
      <c r="C43" s="55">
        <f t="shared" si="11"/>
        <v>45037</v>
      </c>
      <c r="D43" s="29">
        <v>40.4</v>
      </c>
      <c r="E43" s="29">
        <v>33.4</v>
      </c>
      <c r="F43" s="29">
        <v>38.700000000000003</v>
      </c>
      <c r="G43" s="29">
        <v>18.919999999999995</v>
      </c>
      <c r="H43" s="29">
        <v>186</v>
      </c>
      <c r="I43" s="29">
        <f t="shared" si="3"/>
        <v>40.4</v>
      </c>
      <c r="J43" s="29">
        <f t="shared" si="12"/>
        <v>33.4</v>
      </c>
      <c r="K43" s="29">
        <f t="shared" si="4"/>
        <v>38.700000000000003</v>
      </c>
      <c r="L43" s="29">
        <f t="shared" si="5"/>
        <v>18.919999999999995</v>
      </c>
      <c r="M43" s="29">
        <f t="shared" si="6"/>
        <v>186</v>
      </c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 x14ac:dyDescent="0.5">
      <c r="A44" s="27">
        <v>43</v>
      </c>
      <c r="B44" s="27">
        <f t="shared" si="10"/>
        <v>6</v>
      </c>
      <c r="C44" s="55">
        <f t="shared" si="11"/>
        <v>45038</v>
      </c>
      <c r="D44" s="29">
        <v>67.72</v>
      </c>
      <c r="E44" s="29">
        <v>27.7</v>
      </c>
      <c r="F44" s="29">
        <v>1.8</v>
      </c>
      <c r="G44" s="29">
        <v>42.49</v>
      </c>
      <c r="H44" s="29">
        <v>226</v>
      </c>
      <c r="I44" s="29">
        <f t="shared" si="3"/>
        <v>67.72</v>
      </c>
      <c r="J44" s="29">
        <f t="shared" si="12"/>
        <v>27.7</v>
      </c>
      <c r="K44" s="29">
        <f t="shared" si="4"/>
        <v>1.8</v>
      </c>
      <c r="L44" s="29">
        <f t="shared" si="5"/>
        <v>41.756249999999994</v>
      </c>
      <c r="M44" s="29">
        <f t="shared" si="6"/>
        <v>226</v>
      </c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5.75" customHeight="1" x14ac:dyDescent="0.5">
      <c r="A45" s="27">
        <v>44</v>
      </c>
      <c r="B45" s="27">
        <f t="shared" si="10"/>
        <v>7</v>
      </c>
      <c r="C45" s="55">
        <f t="shared" si="11"/>
        <v>45039</v>
      </c>
      <c r="D45" s="29">
        <v>51.38</v>
      </c>
      <c r="E45" s="29">
        <v>8.4</v>
      </c>
      <c r="F45" s="29">
        <v>26.4</v>
      </c>
      <c r="G45" s="29">
        <v>14.33</v>
      </c>
      <c r="H45" s="29">
        <v>149</v>
      </c>
      <c r="I45" s="29">
        <f t="shared" si="3"/>
        <v>51.38</v>
      </c>
      <c r="J45" s="29">
        <f t="shared" si="12"/>
        <v>8.4</v>
      </c>
      <c r="K45" s="29">
        <f t="shared" si="4"/>
        <v>26.4</v>
      </c>
      <c r="L45" s="29">
        <f t="shared" si="5"/>
        <v>14.33</v>
      </c>
      <c r="M45" s="29">
        <f t="shared" si="6"/>
        <v>149</v>
      </c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5.75" customHeight="1" x14ac:dyDescent="0.5">
      <c r="A46" s="27">
        <v>45</v>
      </c>
      <c r="B46" s="27">
        <f t="shared" si="10"/>
        <v>1</v>
      </c>
      <c r="C46" s="55">
        <f t="shared" si="11"/>
        <v>45040</v>
      </c>
      <c r="D46" s="29">
        <v>12.02</v>
      </c>
      <c r="E46" s="29">
        <v>25.7</v>
      </c>
      <c r="F46" s="29">
        <v>43.3</v>
      </c>
      <c r="G46" s="29">
        <v>18.04</v>
      </c>
      <c r="H46" s="29">
        <v>89</v>
      </c>
      <c r="I46" s="29">
        <f t="shared" si="3"/>
        <v>12.02</v>
      </c>
      <c r="J46" s="29">
        <f t="shared" si="12"/>
        <v>25.7</v>
      </c>
      <c r="K46" s="29">
        <f t="shared" si="4"/>
        <v>43.3</v>
      </c>
      <c r="L46" s="29">
        <f t="shared" si="5"/>
        <v>18.04</v>
      </c>
      <c r="M46" s="29">
        <f t="shared" si="6"/>
        <v>89</v>
      </c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5.75" customHeight="1" x14ac:dyDescent="0.5">
      <c r="A47" s="27">
        <v>46</v>
      </c>
      <c r="B47" s="27">
        <f t="shared" si="10"/>
        <v>2</v>
      </c>
      <c r="C47" s="55">
        <f t="shared" si="11"/>
        <v>45041</v>
      </c>
      <c r="D47" s="29">
        <v>42.019999999999996</v>
      </c>
      <c r="E47" s="29">
        <v>22.5</v>
      </c>
      <c r="F47" s="29">
        <v>31.5</v>
      </c>
      <c r="G47" s="29">
        <v>16.159999999999997</v>
      </c>
      <c r="H47" s="29">
        <v>165</v>
      </c>
      <c r="I47" s="29">
        <f t="shared" si="3"/>
        <v>42.019999999999996</v>
      </c>
      <c r="J47" s="29">
        <f t="shared" si="12"/>
        <v>22.5</v>
      </c>
      <c r="K47" s="29">
        <f t="shared" si="4"/>
        <v>31.5</v>
      </c>
      <c r="L47" s="29">
        <f t="shared" si="5"/>
        <v>16.159999999999997</v>
      </c>
      <c r="M47" s="29">
        <f t="shared" si="6"/>
        <v>165</v>
      </c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5.75" customHeight="1" x14ac:dyDescent="0.5">
      <c r="A48" s="27">
        <v>47</v>
      </c>
      <c r="B48" s="27">
        <f t="shared" si="10"/>
        <v>3</v>
      </c>
      <c r="C48" s="55">
        <f t="shared" si="11"/>
        <v>45042</v>
      </c>
      <c r="D48" s="29">
        <v>18.940000000000001</v>
      </c>
      <c r="E48" s="29">
        <v>9.9</v>
      </c>
      <c r="F48" s="29">
        <v>35.700000000000003</v>
      </c>
      <c r="G48" s="29">
        <v>19.64</v>
      </c>
      <c r="H48" s="29">
        <v>119</v>
      </c>
      <c r="I48" s="29">
        <f t="shared" si="3"/>
        <v>18.940000000000001</v>
      </c>
      <c r="J48" s="29">
        <f t="shared" si="12"/>
        <v>9.9</v>
      </c>
      <c r="K48" s="29">
        <f t="shared" si="4"/>
        <v>35.700000000000003</v>
      </c>
      <c r="L48" s="29">
        <f t="shared" si="5"/>
        <v>19.64</v>
      </c>
      <c r="M48" s="29">
        <f t="shared" si="6"/>
        <v>119</v>
      </c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5.75" customHeight="1" x14ac:dyDescent="0.5">
      <c r="A49" s="27">
        <v>48</v>
      </c>
      <c r="B49" s="27">
        <f t="shared" si="10"/>
        <v>4</v>
      </c>
      <c r="C49" s="55">
        <f t="shared" si="11"/>
        <v>45043</v>
      </c>
      <c r="D49" s="29">
        <v>52.980000000000004</v>
      </c>
      <c r="E49" s="29">
        <v>41.5</v>
      </c>
      <c r="F49" s="29">
        <v>18.5</v>
      </c>
      <c r="G49" s="29">
        <v>37.340000000000003</v>
      </c>
      <c r="H49" s="29">
        <v>245</v>
      </c>
      <c r="I49" s="29">
        <f t="shared" si="3"/>
        <v>52.980000000000004</v>
      </c>
      <c r="J49" s="29">
        <f t="shared" si="12"/>
        <v>41.5</v>
      </c>
      <c r="K49" s="29">
        <f t="shared" si="4"/>
        <v>18.5</v>
      </c>
      <c r="L49" s="29">
        <f t="shared" si="5"/>
        <v>37.340000000000003</v>
      </c>
      <c r="M49" s="29">
        <f t="shared" si="6"/>
        <v>245</v>
      </c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5.75" customHeight="1" x14ac:dyDescent="0.5">
      <c r="A50" s="27">
        <v>49</v>
      </c>
      <c r="B50" s="27">
        <f t="shared" si="10"/>
        <v>5</v>
      </c>
      <c r="C50" s="55">
        <f t="shared" si="11"/>
        <v>45044</v>
      </c>
      <c r="D50" s="29">
        <v>46.44</v>
      </c>
      <c r="E50" s="29">
        <v>15.8</v>
      </c>
      <c r="F50" s="29">
        <v>49.9</v>
      </c>
      <c r="G50" s="29">
        <v>10.659999999999997</v>
      </c>
      <c r="H50" s="29">
        <v>149</v>
      </c>
      <c r="I50" s="29">
        <f t="shared" si="3"/>
        <v>46.44</v>
      </c>
      <c r="J50" s="29">
        <f t="shared" si="12"/>
        <v>15.8</v>
      </c>
      <c r="K50" s="29">
        <f t="shared" si="4"/>
        <v>49.9</v>
      </c>
      <c r="L50" s="29">
        <f t="shared" si="5"/>
        <v>10.659999999999997</v>
      </c>
      <c r="M50" s="29">
        <f t="shared" si="6"/>
        <v>149</v>
      </c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5.75" customHeight="1" x14ac:dyDescent="0.5">
      <c r="A51" s="27">
        <v>50</v>
      </c>
      <c r="B51" s="27">
        <f t="shared" si="10"/>
        <v>6</v>
      </c>
      <c r="C51" s="55">
        <f t="shared" si="11"/>
        <v>45045</v>
      </c>
      <c r="D51" s="29">
        <v>14.38</v>
      </c>
      <c r="E51" s="29">
        <v>11.7</v>
      </c>
      <c r="F51" s="29">
        <v>36.799999999999997</v>
      </c>
      <c r="G51" s="29">
        <v>17.82</v>
      </c>
      <c r="H51" s="29">
        <v>111</v>
      </c>
      <c r="I51" s="29">
        <f t="shared" si="3"/>
        <v>14.38</v>
      </c>
      <c r="J51" s="29">
        <f t="shared" si="12"/>
        <v>11.7</v>
      </c>
      <c r="K51" s="29">
        <f t="shared" si="4"/>
        <v>36.799999999999997</v>
      </c>
      <c r="L51" s="29">
        <f t="shared" si="5"/>
        <v>17.82</v>
      </c>
      <c r="M51" s="29">
        <f t="shared" si="6"/>
        <v>111</v>
      </c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5.75" customHeight="1" x14ac:dyDescent="0.5">
      <c r="A52" s="27">
        <v>51</v>
      </c>
      <c r="B52" s="27">
        <f t="shared" si="10"/>
        <v>7</v>
      </c>
      <c r="C52" s="55">
        <f t="shared" si="11"/>
        <v>45046</v>
      </c>
      <c r="D52" s="29">
        <v>43.96</v>
      </c>
      <c r="E52" s="29">
        <v>3.1</v>
      </c>
      <c r="F52" s="29">
        <v>34.6</v>
      </c>
      <c r="G52" s="29">
        <v>7.6899999999999995</v>
      </c>
      <c r="H52" s="29">
        <v>122</v>
      </c>
      <c r="I52" s="29">
        <f t="shared" si="3"/>
        <v>43.96</v>
      </c>
      <c r="J52" s="29">
        <f t="shared" si="12"/>
        <v>3.1</v>
      </c>
      <c r="K52" s="29">
        <f t="shared" si="4"/>
        <v>34.6</v>
      </c>
      <c r="L52" s="29">
        <f t="shared" si="5"/>
        <v>7.6899999999999995</v>
      </c>
      <c r="M52" s="29">
        <f t="shared" si="6"/>
        <v>122</v>
      </c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5.75" customHeight="1" x14ac:dyDescent="0.5">
      <c r="A53" s="27">
        <v>52</v>
      </c>
      <c r="B53" s="27">
        <f t="shared" si="10"/>
        <v>1</v>
      </c>
      <c r="C53" s="55">
        <f t="shared" si="11"/>
        <v>45047</v>
      </c>
      <c r="D53" s="29">
        <v>29.080000000000002</v>
      </c>
      <c r="E53" s="29">
        <v>9.6</v>
      </c>
      <c r="F53" s="29">
        <v>3.6</v>
      </c>
      <c r="G53" s="29">
        <v>13.4</v>
      </c>
      <c r="H53" s="29">
        <v>112</v>
      </c>
      <c r="I53" s="29">
        <f t="shared" si="3"/>
        <v>29.080000000000002</v>
      </c>
      <c r="J53" s="29">
        <f t="shared" si="12"/>
        <v>9.6</v>
      </c>
      <c r="K53" s="29">
        <f t="shared" si="4"/>
        <v>3.6</v>
      </c>
      <c r="L53" s="29">
        <f t="shared" si="5"/>
        <v>13.4</v>
      </c>
      <c r="M53" s="29">
        <f t="shared" si="6"/>
        <v>112</v>
      </c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5.75" customHeight="1" x14ac:dyDescent="0.5">
      <c r="A54" s="27">
        <v>53</v>
      </c>
      <c r="B54" s="27">
        <f t="shared" si="10"/>
        <v>2</v>
      </c>
      <c r="C54" s="55">
        <f t="shared" si="11"/>
        <v>45048</v>
      </c>
      <c r="D54" s="29">
        <v>44.28</v>
      </c>
      <c r="E54" s="29">
        <v>41.7</v>
      </c>
      <c r="F54" s="29">
        <v>39.6</v>
      </c>
      <c r="G54" s="29">
        <v>26.65</v>
      </c>
      <c r="H54" s="29">
        <v>235</v>
      </c>
      <c r="I54" s="29">
        <f t="shared" si="3"/>
        <v>44.28</v>
      </c>
      <c r="J54" s="29">
        <f t="shared" si="12"/>
        <v>41.7</v>
      </c>
      <c r="K54" s="29">
        <f t="shared" si="4"/>
        <v>39.6</v>
      </c>
      <c r="L54" s="29">
        <f t="shared" si="5"/>
        <v>26.65</v>
      </c>
      <c r="M54" s="29">
        <f t="shared" si="6"/>
        <v>235</v>
      </c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5.75" customHeight="1" x14ac:dyDescent="0.5">
      <c r="A55" s="27">
        <v>54</v>
      </c>
      <c r="B55" s="27">
        <f t="shared" si="10"/>
        <v>3</v>
      </c>
      <c r="C55" s="55">
        <f t="shared" si="11"/>
        <v>45049</v>
      </c>
      <c r="D55" s="29">
        <v>41.519999999999996</v>
      </c>
      <c r="E55" s="29">
        <v>46.2</v>
      </c>
      <c r="F55" s="29">
        <v>58.7</v>
      </c>
      <c r="G55" s="29">
        <v>17.879999999999995</v>
      </c>
      <c r="H55" s="29">
        <v>225</v>
      </c>
      <c r="I55" s="29">
        <f t="shared" si="3"/>
        <v>41.519999999999996</v>
      </c>
      <c r="J55" s="29">
        <f t="shared" si="12"/>
        <v>46.2</v>
      </c>
      <c r="K55" s="29">
        <f t="shared" si="4"/>
        <v>58.7</v>
      </c>
      <c r="L55" s="29">
        <f t="shared" si="5"/>
        <v>17.879999999999995</v>
      </c>
      <c r="M55" s="29">
        <f t="shared" si="6"/>
        <v>225</v>
      </c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5.75" customHeight="1" x14ac:dyDescent="0.5">
      <c r="A56" s="27">
        <v>55</v>
      </c>
      <c r="B56" s="27">
        <f t="shared" si="10"/>
        <v>4</v>
      </c>
      <c r="C56" s="55">
        <f t="shared" si="11"/>
        <v>45050</v>
      </c>
      <c r="D56" s="29">
        <v>62.54</v>
      </c>
      <c r="E56" s="29">
        <v>28.8</v>
      </c>
      <c r="F56" s="29">
        <v>15.9</v>
      </c>
      <c r="G56" s="29">
        <v>34.31</v>
      </c>
      <c r="H56" s="29">
        <v>220</v>
      </c>
      <c r="I56" s="29">
        <f t="shared" si="3"/>
        <v>62.54</v>
      </c>
      <c r="J56" s="29">
        <f t="shared" si="12"/>
        <v>28.8</v>
      </c>
      <c r="K56" s="29">
        <f t="shared" si="4"/>
        <v>15.9</v>
      </c>
      <c r="L56" s="29">
        <f t="shared" si="5"/>
        <v>34.31</v>
      </c>
      <c r="M56" s="29">
        <f t="shared" si="6"/>
        <v>220</v>
      </c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5.75" customHeight="1" x14ac:dyDescent="0.5">
      <c r="A57" s="27">
        <v>56</v>
      </c>
      <c r="B57" s="27">
        <f t="shared" si="10"/>
        <v>5</v>
      </c>
      <c r="C57" s="55">
        <f t="shared" si="11"/>
        <v>45051</v>
      </c>
      <c r="D57" s="29">
        <v>40.78</v>
      </c>
      <c r="E57" s="29">
        <v>49.4</v>
      </c>
      <c r="F57" s="29">
        <v>60</v>
      </c>
      <c r="G57" s="29">
        <v>20.590000000000003</v>
      </c>
      <c r="H57" s="29">
        <v>240</v>
      </c>
      <c r="I57" s="29">
        <f t="shared" si="3"/>
        <v>40.78</v>
      </c>
      <c r="J57" s="29">
        <f t="shared" si="12"/>
        <v>49.4</v>
      </c>
      <c r="K57" s="29">
        <f t="shared" si="4"/>
        <v>60</v>
      </c>
      <c r="L57" s="29">
        <f t="shared" si="5"/>
        <v>20.590000000000003</v>
      </c>
      <c r="M57" s="29">
        <f t="shared" si="6"/>
        <v>240</v>
      </c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5.75" customHeight="1" x14ac:dyDescent="0.5">
      <c r="A58" s="27">
        <v>57</v>
      </c>
      <c r="B58" s="27">
        <f t="shared" si="10"/>
        <v>6</v>
      </c>
      <c r="C58" s="55">
        <f t="shared" si="11"/>
        <v>45052</v>
      </c>
      <c r="D58" s="29">
        <v>3.46</v>
      </c>
      <c r="E58" s="29">
        <v>28.1</v>
      </c>
      <c r="F58" s="29">
        <v>41.4</v>
      </c>
      <c r="G58" s="29">
        <v>18.220000000000002</v>
      </c>
      <c r="H58" s="29">
        <v>71</v>
      </c>
      <c r="I58" s="29">
        <f t="shared" si="3"/>
        <v>3.46</v>
      </c>
      <c r="J58" s="29">
        <f t="shared" si="12"/>
        <v>28.1</v>
      </c>
      <c r="K58" s="29">
        <f t="shared" si="4"/>
        <v>41.4</v>
      </c>
      <c r="L58" s="29">
        <f t="shared" si="5"/>
        <v>18.220000000000002</v>
      </c>
      <c r="M58" s="29">
        <f t="shared" si="6"/>
        <v>71</v>
      </c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5.75" customHeight="1" x14ac:dyDescent="0.5">
      <c r="A59" s="27">
        <v>58</v>
      </c>
      <c r="B59" s="27">
        <f t="shared" si="10"/>
        <v>7</v>
      </c>
      <c r="C59" s="55">
        <f t="shared" si="11"/>
        <v>45053</v>
      </c>
      <c r="D59" s="29">
        <v>33.239999999999995</v>
      </c>
      <c r="E59" s="29">
        <v>19.2</v>
      </c>
      <c r="F59" s="29">
        <v>16.600000000000001</v>
      </c>
      <c r="G59" s="29">
        <v>16.579999999999998</v>
      </c>
      <c r="H59" s="29">
        <v>133</v>
      </c>
      <c r="I59" s="29">
        <f t="shared" si="3"/>
        <v>33.239999999999995</v>
      </c>
      <c r="J59" s="29">
        <f t="shared" si="12"/>
        <v>19.2</v>
      </c>
      <c r="K59" s="29">
        <f t="shared" si="4"/>
        <v>16.600000000000001</v>
      </c>
      <c r="L59" s="29">
        <f t="shared" si="5"/>
        <v>16.579999999999998</v>
      </c>
      <c r="M59" s="29">
        <f t="shared" si="6"/>
        <v>133</v>
      </c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5.75" customHeight="1" x14ac:dyDescent="0.5">
      <c r="A60" s="27">
        <v>59</v>
      </c>
      <c r="B60" s="27">
        <f t="shared" si="10"/>
        <v>1</v>
      </c>
      <c r="C60" s="55">
        <f t="shared" si="11"/>
        <v>45054</v>
      </c>
      <c r="D60" s="29">
        <v>49.160000000000004</v>
      </c>
      <c r="E60" s="29">
        <v>49.6</v>
      </c>
      <c r="F60" s="29">
        <v>37.700000000000003</v>
      </c>
      <c r="G60" s="29">
        <v>30.8</v>
      </c>
      <c r="H60" s="29">
        <v>239</v>
      </c>
      <c r="I60" s="29">
        <f t="shared" si="3"/>
        <v>49.160000000000004</v>
      </c>
      <c r="J60" s="29">
        <f t="shared" si="12"/>
        <v>49.6</v>
      </c>
      <c r="K60" s="29">
        <f t="shared" si="4"/>
        <v>37.700000000000003</v>
      </c>
      <c r="L60" s="29">
        <f t="shared" si="5"/>
        <v>30.8</v>
      </c>
      <c r="M60" s="29">
        <f t="shared" si="6"/>
        <v>239</v>
      </c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5.75" customHeight="1" x14ac:dyDescent="0.5">
      <c r="A61" s="27">
        <v>60</v>
      </c>
      <c r="B61" s="27">
        <f t="shared" si="10"/>
        <v>2</v>
      </c>
      <c r="C61" s="55">
        <f t="shared" si="11"/>
        <v>45055</v>
      </c>
      <c r="D61" s="29">
        <v>50.14</v>
      </c>
      <c r="E61" s="29">
        <v>29.5</v>
      </c>
      <c r="F61" s="29">
        <v>9.3000000000000007</v>
      </c>
      <c r="G61" s="29">
        <v>32.1</v>
      </c>
      <c r="H61" s="29">
        <v>186</v>
      </c>
      <c r="I61" s="29">
        <f t="shared" si="3"/>
        <v>50.14</v>
      </c>
      <c r="J61" s="29">
        <f t="shared" si="12"/>
        <v>29.5</v>
      </c>
      <c r="K61" s="29">
        <f t="shared" si="4"/>
        <v>9.3000000000000007</v>
      </c>
      <c r="L61" s="29">
        <f t="shared" si="5"/>
        <v>32.1</v>
      </c>
      <c r="M61" s="29">
        <f t="shared" si="6"/>
        <v>186</v>
      </c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5.75" customHeight="1" x14ac:dyDescent="0.5">
      <c r="A62" s="27">
        <v>61</v>
      </c>
      <c r="B62" s="27">
        <f t="shared" si="10"/>
        <v>3</v>
      </c>
      <c r="C62" s="55">
        <f t="shared" si="11"/>
        <v>45056</v>
      </c>
      <c r="D62" s="29">
        <v>16.7</v>
      </c>
      <c r="E62" s="29">
        <v>2</v>
      </c>
      <c r="F62" s="29">
        <v>21.4</v>
      </c>
      <c r="G62" s="29">
        <v>17.79</v>
      </c>
      <c r="H62" s="29">
        <v>83</v>
      </c>
      <c r="I62" s="29">
        <f t="shared" si="3"/>
        <v>16.7</v>
      </c>
      <c r="J62" s="29">
        <f t="shared" si="12"/>
        <v>2</v>
      </c>
      <c r="K62" s="29">
        <f t="shared" si="4"/>
        <v>21.4</v>
      </c>
      <c r="L62" s="29">
        <f t="shared" si="5"/>
        <v>17.79</v>
      </c>
      <c r="M62" s="29">
        <f t="shared" si="6"/>
        <v>83</v>
      </c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5.75" customHeight="1" x14ac:dyDescent="0.5">
      <c r="A63" s="27">
        <v>62</v>
      </c>
      <c r="B63" s="27">
        <f t="shared" si="10"/>
        <v>4</v>
      </c>
      <c r="C63" s="55">
        <f t="shared" si="11"/>
        <v>45057</v>
      </c>
      <c r="D63" s="29">
        <v>61.260000000000005</v>
      </c>
      <c r="E63" s="29">
        <v>42.7</v>
      </c>
      <c r="F63" s="29">
        <v>54.7</v>
      </c>
      <c r="G63" s="29">
        <v>25.6</v>
      </c>
      <c r="H63" s="29">
        <v>240</v>
      </c>
      <c r="I63" s="29">
        <f t="shared" si="3"/>
        <v>61.260000000000005</v>
      </c>
      <c r="J63" s="29">
        <f t="shared" si="12"/>
        <v>42.7</v>
      </c>
      <c r="K63" s="29">
        <f t="shared" si="4"/>
        <v>54.7</v>
      </c>
      <c r="L63" s="29">
        <f t="shared" si="5"/>
        <v>25.6</v>
      </c>
      <c r="M63" s="29">
        <f t="shared" si="6"/>
        <v>240</v>
      </c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5.75" customHeight="1" x14ac:dyDescent="0.5">
      <c r="A64" s="27">
        <v>63</v>
      </c>
      <c r="B64" s="27">
        <f t="shared" si="10"/>
        <v>5</v>
      </c>
      <c r="C64" s="55">
        <f t="shared" si="11"/>
        <v>45058</v>
      </c>
      <c r="D64" s="29">
        <v>53.86</v>
      </c>
      <c r="E64" s="29">
        <v>15.5</v>
      </c>
      <c r="F64" s="29">
        <v>27.3</v>
      </c>
      <c r="G64" s="29">
        <v>20.759999999999998</v>
      </c>
      <c r="H64" s="29">
        <v>170</v>
      </c>
      <c r="I64" s="29">
        <f t="shared" si="3"/>
        <v>53.86</v>
      </c>
      <c r="J64" s="29">
        <f t="shared" si="12"/>
        <v>15.5</v>
      </c>
      <c r="K64" s="29">
        <f t="shared" si="4"/>
        <v>27.3</v>
      </c>
      <c r="L64" s="29">
        <f t="shared" si="5"/>
        <v>20.759999999999998</v>
      </c>
      <c r="M64" s="29">
        <f t="shared" si="6"/>
        <v>170</v>
      </c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5.75" customHeight="1" x14ac:dyDescent="0.5">
      <c r="A65" s="27">
        <v>64</v>
      </c>
      <c r="B65" s="27">
        <f t="shared" si="10"/>
        <v>6</v>
      </c>
      <c r="C65" s="55">
        <f t="shared" si="11"/>
        <v>45059</v>
      </c>
      <c r="D65" s="29">
        <v>27.54</v>
      </c>
      <c r="E65" s="29">
        <v>29.6</v>
      </c>
      <c r="F65" s="29">
        <v>8.4</v>
      </c>
      <c r="G65" s="29">
        <v>21.71</v>
      </c>
      <c r="H65" s="29">
        <v>298.75</v>
      </c>
      <c r="I65" s="29">
        <f t="shared" si="3"/>
        <v>27.54</v>
      </c>
      <c r="J65" s="29">
        <f t="shared" si="12"/>
        <v>29.6</v>
      </c>
      <c r="K65" s="29">
        <f t="shared" si="4"/>
        <v>8.4</v>
      </c>
      <c r="L65" s="29">
        <f t="shared" si="5"/>
        <v>21.71</v>
      </c>
      <c r="M65" s="29">
        <f t="shared" si="6"/>
        <v>291.75</v>
      </c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5.75" customHeight="1" x14ac:dyDescent="0.5">
      <c r="A66" s="27">
        <v>65</v>
      </c>
      <c r="B66" s="27">
        <f t="shared" ref="B66:B97" si="13">WEEKDAY(C66,2)</f>
        <v>7</v>
      </c>
      <c r="C66" s="55">
        <f t="shared" ref="C66:C97" si="14">+C67-1</f>
        <v>45060</v>
      </c>
      <c r="D66" s="29">
        <v>27.22</v>
      </c>
      <c r="E66" s="29">
        <v>42.8</v>
      </c>
      <c r="F66" s="29">
        <v>28.9</v>
      </c>
      <c r="G66" s="29">
        <v>22.949999999999996</v>
      </c>
      <c r="H66" s="29">
        <v>187</v>
      </c>
      <c r="I66" s="29">
        <f t="shared" si="3"/>
        <v>27.22</v>
      </c>
      <c r="J66" s="29">
        <f t="shared" si="12"/>
        <v>42.8</v>
      </c>
      <c r="K66" s="29">
        <f t="shared" si="4"/>
        <v>28.9</v>
      </c>
      <c r="L66" s="29">
        <f t="shared" si="5"/>
        <v>22.949999999999996</v>
      </c>
      <c r="M66" s="29">
        <f t="shared" si="6"/>
        <v>187</v>
      </c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5.75" customHeight="1" x14ac:dyDescent="0.5">
      <c r="A67" s="27">
        <v>66</v>
      </c>
      <c r="B67" s="27">
        <f t="shared" si="13"/>
        <v>1</v>
      </c>
      <c r="C67" s="55">
        <f t="shared" si="14"/>
        <v>45061</v>
      </c>
      <c r="D67" s="29">
        <v>21.8</v>
      </c>
      <c r="E67" s="29">
        <v>9.3000000000000007</v>
      </c>
      <c r="F67" s="29">
        <v>0.9</v>
      </c>
      <c r="G67" s="29">
        <v>11.190000000000001</v>
      </c>
      <c r="H67" s="29">
        <v>109</v>
      </c>
      <c r="I67" s="29">
        <f t="shared" ref="I67:I130" si="15">IF(D67&gt;T$4,T$4,D67)</f>
        <v>21.8</v>
      </c>
      <c r="J67" s="29">
        <f t="shared" ref="J67:J130" si="16">IF(E67&gt;T$5,T$5,E67)</f>
        <v>9.3000000000000007</v>
      </c>
      <c r="K67" s="29">
        <f t="shared" ref="K67:K130" si="17">IF(F67&gt;T$6,T$6,F67)</f>
        <v>0.9</v>
      </c>
      <c r="L67" s="29">
        <f t="shared" ref="L67:L130" si="18">IF(G67&gt;T$7,T$7,G67)</f>
        <v>11.190000000000001</v>
      </c>
      <c r="M67" s="29">
        <f t="shared" ref="M67:M130" si="19">IF(H67&gt;T$8,T$8,H67)</f>
        <v>109</v>
      </c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5.75" customHeight="1" x14ac:dyDescent="0.5">
      <c r="A68" s="27">
        <v>67</v>
      </c>
      <c r="B68" s="27">
        <f t="shared" si="13"/>
        <v>2</v>
      </c>
      <c r="C68" s="55">
        <f t="shared" si="14"/>
        <v>45062</v>
      </c>
      <c r="D68" s="29">
        <v>15.3</v>
      </c>
      <c r="E68" s="29">
        <v>24.6</v>
      </c>
      <c r="F68" s="29">
        <v>2.2000000000000002</v>
      </c>
      <c r="G68" s="29">
        <v>14.57</v>
      </c>
      <c r="H68" s="29">
        <v>104</v>
      </c>
      <c r="I68" s="29">
        <f t="shared" si="15"/>
        <v>15.3</v>
      </c>
      <c r="J68" s="29">
        <f t="shared" si="16"/>
        <v>24.6</v>
      </c>
      <c r="K68" s="29">
        <f t="shared" si="17"/>
        <v>2.2000000000000002</v>
      </c>
      <c r="L68" s="29">
        <f t="shared" si="18"/>
        <v>14.57</v>
      </c>
      <c r="M68" s="29">
        <f t="shared" si="19"/>
        <v>104</v>
      </c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5.75" customHeight="1" x14ac:dyDescent="0.5">
      <c r="A69" s="27">
        <v>68</v>
      </c>
      <c r="B69" s="27">
        <f t="shared" si="13"/>
        <v>3</v>
      </c>
      <c r="C69" s="55">
        <f t="shared" si="14"/>
        <v>45063</v>
      </c>
      <c r="D69" s="29">
        <v>30.860000000000003</v>
      </c>
      <c r="E69" s="29">
        <v>14.5</v>
      </c>
      <c r="F69" s="29">
        <v>10.199999999999999</v>
      </c>
      <c r="G69" s="29">
        <v>17.100000000000001</v>
      </c>
      <c r="H69" s="29">
        <v>135</v>
      </c>
      <c r="I69" s="29">
        <f t="shared" si="15"/>
        <v>30.860000000000003</v>
      </c>
      <c r="J69" s="29">
        <f t="shared" si="16"/>
        <v>14.5</v>
      </c>
      <c r="K69" s="29">
        <f t="shared" si="17"/>
        <v>10.199999999999999</v>
      </c>
      <c r="L69" s="29">
        <f t="shared" si="18"/>
        <v>17.100000000000001</v>
      </c>
      <c r="M69" s="29">
        <f t="shared" si="19"/>
        <v>135</v>
      </c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5.75" customHeight="1" x14ac:dyDescent="0.5">
      <c r="A70" s="27">
        <v>69</v>
      </c>
      <c r="B70" s="27">
        <f t="shared" si="13"/>
        <v>4</v>
      </c>
      <c r="C70" s="55">
        <f t="shared" si="14"/>
        <v>45064</v>
      </c>
      <c r="D70" s="29">
        <v>51.480000000000004</v>
      </c>
      <c r="E70" s="29">
        <v>27.5</v>
      </c>
      <c r="F70" s="29">
        <v>11</v>
      </c>
      <c r="G70" s="29">
        <v>33.090000000000003</v>
      </c>
      <c r="H70" s="29">
        <v>196</v>
      </c>
      <c r="I70" s="29">
        <f t="shared" si="15"/>
        <v>51.480000000000004</v>
      </c>
      <c r="J70" s="29">
        <f t="shared" si="16"/>
        <v>27.5</v>
      </c>
      <c r="K70" s="29">
        <f t="shared" si="17"/>
        <v>11</v>
      </c>
      <c r="L70" s="29">
        <f t="shared" si="18"/>
        <v>33.090000000000003</v>
      </c>
      <c r="M70" s="29">
        <f t="shared" si="19"/>
        <v>196</v>
      </c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5.75" customHeight="1" x14ac:dyDescent="0.5">
      <c r="A71" s="27">
        <v>70</v>
      </c>
      <c r="B71" s="27">
        <f t="shared" si="13"/>
        <v>5</v>
      </c>
      <c r="C71" s="55">
        <f t="shared" si="14"/>
        <v>45065</v>
      </c>
      <c r="D71" s="29">
        <v>48.36</v>
      </c>
      <c r="E71" s="29">
        <v>43.9</v>
      </c>
      <c r="F71" s="29">
        <v>27.2</v>
      </c>
      <c r="G71" s="29">
        <v>32.749999999999993</v>
      </c>
      <c r="H71" s="29">
        <v>229</v>
      </c>
      <c r="I71" s="29">
        <f t="shared" si="15"/>
        <v>48.36</v>
      </c>
      <c r="J71" s="29">
        <f t="shared" si="16"/>
        <v>43.9</v>
      </c>
      <c r="K71" s="29">
        <f t="shared" si="17"/>
        <v>27.2</v>
      </c>
      <c r="L71" s="29">
        <f t="shared" si="18"/>
        <v>32.749999999999993</v>
      </c>
      <c r="M71" s="29">
        <f t="shared" si="19"/>
        <v>229</v>
      </c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5.75" customHeight="1" x14ac:dyDescent="0.5">
      <c r="A72" s="27">
        <v>71</v>
      </c>
      <c r="B72" s="27">
        <f t="shared" si="13"/>
        <v>6</v>
      </c>
      <c r="C72" s="55">
        <f t="shared" si="14"/>
        <v>45066</v>
      </c>
      <c r="D72" s="29">
        <v>44.82</v>
      </c>
      <c r="E72" s="29">
        <v>30.6</v>
      </c>
      <c r="F72" s="29">
        <v>38.700000000000003</v>
      </c>
      <c r="G72" s="29">
        <v>19.729999999999997</v>
      </c>
      <c r="H72" s="29">
        <v>196</v>
      </c>
      <c r="I72" s="29">
        <f t="shared" si="15"/>
        <v>44.82</v>
      </c>
      <c r="J72" s="29">
        <f t="shared" si="16"/>
        <v>30.6</v>
      </c>
      <c r="K72" s="29">
        <f t="shared" si="17"/>
        <v>38.700000000000003</v>
      </c>
      <c r="L72" s="29">
        <f t="shared" si="18"/>
        <v>19.729999999999997</v>
      </c>
      <c r="M72" s="29">
        <f t="shared" si="19"/>
        <v>196</v>
      </c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5.75" customHeight="1" x14ac:dyDescent="0.5">
      <c r="A73" s="27">
        <v>72</v>
      </c>
      <c r="B73" s="27">
        <f t="shared" si="13"/>
        <v>7</v>
      </c>
      <c r="C73" s="55">
        <f t="shared" si="14"/>
        <v>45067</v>
      </c>
      <c r="D73" s="29">
        <v>29.96</v>
      </c>
      <c r="E73" s="29">
        <v>14.3</v>
      </c>
      <c r="F73" s="29">
        <v>31.7</v>
      </c>
      <c r="G73" s="29">
        <v>5.4500000000000028</v>
      </c>
      <c r="H73" s="29">
        <v>129</v>
      </c>
      <c r="I73" s="29">
        <f t="shared" si="15"/>
        <v>29.96</v>
      </c>
      <c r="J73" s="29">
        <f t="shared" si="16"/>
        <v>14.3</v>
      </c>
      <c r="K73" s="29">
        <f t="shared" si="17"/>
        <v>31.7</v>
      </c>
      <c r="L73" s="29">
        <f t="shared" si="18"/>
        <v>5.4500000000000028</v>
      </c>
      <c r="M73" s="29">
        <f t="shared" si="19"/>
        <v>129</v>
      </c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5.75" customHeight="1" x14ac:dyDescent="0.5">
      <c r="A74" s="27">
        <v>73</v>
      </c>
      <c r="B74" s="27">
        <f t="shared" si="13"/>
        <v>1</v>
      </c>
      <c r="C74" s="55">
        <f t="shared" si="14"/>
        <v>45068</v>
      </c>
      <c r="D74" s="29">
        <v>15.36</v>
      </c>
      <c r="E74" s="29">
        <v>33</v>
      </c>
      <c r="F74" s="29">
        <v>19.3</v>
      </c>
      <c r="G74" s="29">
        <v>11.459999999999999</v>
      </c>
      <c r="H74" s="29">
        <v>106</v>
      </c>
      <c r="I74" s="29">
        <f t="shared" si="15"/>
        <v>15.36</v>
      </c>
      <c r="J74" s="29">
        <f t="shared" si="16"/>
        <v>33</v>
      </c>
      <c r="K74" s="29">
        <f t="shared" si="17"/>
        <v>19.3</v>
      </c>
      <c r="L74" s="29">
        <f t="shared" si="18"/>
        <v>11.459999999999999</v>
      </c>
      <c r="M74" s="29">
        <f t="shared" si="19"/>
        <v>106</v>
      </c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5.75" customHeight="1" x14ac:dyDescent="0.5">
      <c r="A75" s="27">
        <v>74</v>
      </c>
      <c r="B75" s="27">
        <f t="shared" si="13"/>
        <v>2</v>
      </c>
      <c r="C75" s="55">
        <f t="shared" si="14"/>
        <v>45069</v>
      </c>
      <c r="D75" s="29">
        <v>28.880000000000003</v>
      </c>
      <c r="E75" s="29">
        <v>5.7</v>
      </c>
      <c r="F75" s="29">
        <v>31.3</v>
      </c>
      <c r="G75" s="29">
        <v>3.2699999999999996</v>
      </c>
      <c r="H75" s="29">
        <v>117</v>
      </c>
      <c r="I75" s="29">
        <f t="shared" si="15"/>
        <v>28.880000000000003</v>
      </c>
      <c r="J75" s="29">
        <f t="shared" si="16"/>
        <v>5.7</v>
      </c>
      <c r="K75" s="29">
        <f t="shared" si="17"/>
        <v>31.3</v>
      </c>
      <c r="L75" s="29">
        <f t="shared" si="18"/>
        <v>3.2699999999999996</v>
      </c>
      <c r="M75" s="29">
        <f t="shared" si="19"/>
        <v>117</v>
      </c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5.75" customHeight="1" x14ac:dyDescent="0.5">
      <c r="A76" s="27">
        <v>75</v>
      </c>
      <c r="B76" s="27">
        <f t="shared" si="13"/>
        <v>3</v>
      </c>
      <c r="C76" s="55">
        <f t="shared" si="14"/>
        <v>45070</v>
      </c>
      <c r="D76" s="29">
        <v>50.68</v>
      </c>
      <c r="E76" s="29">
        <v>0</v>
      </c>
      <c r="F76" s="29">
        <v>13.1</v>
      </c>
      <c r="G76" s="29">
        <v>28.4</v>
      </c>
      <c r="H76" s="29">
        <v>187</v>
      </c>
      <c r="I76" s="29">
        <f t="shared" si="15"/>
        <v>50.68</v>
      </c>
      <c r="J76" s="29">
        <f t="shared" si="16"/>
        <v>0</v>
      </c>
      <c r="K76" s="29">
        <f t="shared" si="17"/>
        <v>13.1</v>
      </c>
      <c r="L76" s="29">
        <f t="shared" si="18"/>
        <v>28.4</v>
      </c>
      <c r="M76" s="29">
        <f t="shared" si="19"/>
        <v>187</v>
      </c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5.75" customHeight="1" x14ac:dyDescent="0.5">
      <c r="A77" s="27">
        <v>76</v>
      </c>
      <c r="B77" s="27">
        <f t="shared" si="13"/>
        <v>4</v>
      </c>
      <c r="C77" s="55">
        <f t="shared" si="14"/>
        <v>45071</v>
      </c>
      <c r="D77" s="29">
        <v>12.379999999999999</v>
      </c>
      <c r="E77" s="29">
        <v>43.7</v>
      </c>
      <c r="F77" s="29">
        <v>89.4</v>
      </c>
      <c r="G77" s="29">
        <v>7.7799999999999976</v>
      </c>
      <c r="H77" s="29">
        <v>105</v>
      </c>
      <c r="I77" s="29">
        <f t="shared" si="15"/>
        <v>12.379999999999999</v>
      </c>
      <c r="J77" s="29">
        <f t="shared" si="16"/>
        <v>43.7</v>
      </c>
      <c r="K77" s="29">
        <f t="shared" si="17"/>
        <v>89.4</v>
      </c>
      <c r="L77" s="29">
        <f t="shared" si="18"/>
        <v>7.7799999999999976</v>
      </c>
      <c r="M77" s="29">
        <f t="shared" si="19"/>
        <v>105</v>
      </c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5.75" customHeight="1" x14ac:dyDescent="0.5">
      <c r="A78" s="27">
        <v>77</v>
      </c>
      <c r="B78" s="27">
        <f t="shared" si="13"/>
        <v>5</v>
      </c>
      <c r="C78" s="55">
        <f t="shared" si="14"/>
        <v>45072</v>
      </c>
      <c r="D78" s="29">
        <v>13.5</v>
      </c>
      <c r="E78" s="29">
        <v>1.6</v>
      </c>
      <c r="F78" s="29">
        <v>20.7</v>
      </c>
      <c r="G78" s="29">
        <v>15.27</v>
      </c>
      <c r="H78" s="29">
        <v>83</v>
      </c>
      <c r="I78" s="29">
        <f t="shared" si="15"/>
        <v>13.5</v>
      </c>
      <c r="J78" s="29">
        <f t="shared" si="16"/>
        <v>1.6</v>
      </c>
      <c r="K78" s="29">
        <f t="shared" si="17"/>
        <v>20.7</v>
      </c>
      <c r="L78" s="29">
        <f t="shared" si="18"/>
        <v>15.27</v>
      </c>
      <c r="M78" s="29">
        <f t="shared" si="19"/>
        <v>83</v>
      </c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5.75" customHeight="1" x14ac:dyDescent="0.5">
      <c r="A79" s="27">
        <v>78</v>
      </c>
      <c r="B79" s="27">
        <f t="shared" si="13"/>
        <v>6</v>
      </c>
      <c r="C79" s="55">
        <f t="shared" si="14"/>
        <v>45073</v>
      </c>
      <c r="D79" s="29">
        <v>25.1</v>
      </c>
      <c r="E79" s="29">
        <v>28.5</v>
      </c>
      <c r="F79" s="29">
        <v>14.2</v>
      </c>
      <c r="G79" s="29">
        <v>20.62</v>
      </c>
      <c r="H79" s="29">
        <v>149</v>
      </c>
      <c r="I79" s="29">
        <f t="shared" si="15"/>
        <v>25.1</v>
      </c>
      <c r="J79" s="29">
        <f t="shared" si="16"/>
        <v>28.5</v>
      </c>
      <c r="K79" s="29">
        <f t="shared" si="17"/>
        <v>14.2</v>
      </c>
      <c r="L79" s="29">
        <f t="shared" si="18"/>
        <v>20.62</v>
      </c>
      <c r="M79" s="29">
        <f t="shared" si="19"/>
        <v>149</v>
      </c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5.75" customHeight="1" x14ac:dyDescent="0.5">
      <c r="A80" s="27">
        <v>79</v>
      </c>
      <c r="B80" s="27">
        <f t="shared" si="13"/>
        <v>7</v>
      </c>
      <c r="C80" s="55">
        <f t="shared" si="14"/>
        <v>45074</v>
      </c>
      <c r="D80" s="29">
        <v>8.08</v>
      </c>
      <c r="E80" s="29">
        <v>29.9</v>
      </c>
      <c r="F80" s="29">
        <v>9.4</v>
      </c>
      <c r="G80" s="29">
        <v>11.729999999999999</v>
      </c>
      <c r="H80" s="29">
        <v>62</v>
      </c>
      <c r="I80" s="29">
        <f t="shared" si="15"/>
        <v>8.08</v>
      </c>
      <c r="J80" s="29">
        <f t="shared" si="16"/>
        <v>29.9</v>
      </c>
      <c r="K80" s="29">
        <f t="shared" si="17"/>
        <v>9.4</v>
      </c>
      <c r="L80" s="29">
        <f t="shared" si="18"/>
        <v>11.729999999999999</v>
      </c>
      <c r="M80" s="29">
        <f t="shared" si="19"/>
        <v>62</v>
      </c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5.75" customHeight="1" x14ac:dyDescent="0.5">
      <c r="A81" s="27">
        <v>80</v>
      </c>
      <c r="B81" s="27">
        <f t="shared" si="13"/>
        <v>1</v>
      </c>
      <c r="C81" s="55">
        <f t="shared" si="14"/>
        <v>45075</v>
      </c>
      <c r="D81" s="29">
        <v>31.2</v>
      </c>
      <c r="E81" s="29">
        <v>7.7</v>
      </c>
      <c r="F81" s="29">
        <v>23.1</v>
      </c>
      <c r="G81" s="29">
        <v>6.2099999999999991</v>
      </c>
      <c r="H81" s="29">
        <v>120</v>
      </c>
      <c r="I81" s="29">
        <f t="shared" si="15"/>
        <v>31.2</v>
      </c>
      <c r="J81" s="29">
        <f t="shared" si="16"/>
        <v>7.7</v>
      </c>
      <c r="K81" s="29">
        <f t="shared" si="17"/>
        <v>23.1</v>
      </c>
      <c r="L81" s="29">
        <f t="shared" si="18"/>
        <v>6.2099999999999991</v>
      </c>
      <c r="M81" s="29">
        <f t="shared" si="19"/>
        <v>120</v>
      </c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5.75" customHeight="1" x14ac:dyDescent="0.5">
      <c r="A82" s="27">
        <v>81</v>
      </c>
      <c r="B82" s="27">
        <f t="shared" si="13"/>
        <v>2</v>
      </c>
      <c r="C82" s="55">
        <f t="shared" si="14"/>
        <v>45076</v>
      </c>
      <c r="D82" s="29">
        <v>19.28</v>
      </c>
      <c r="E82" s="29">
        <v>26.7</v>
      </c>
      <c r="F82" s="29">
        <v>22.3</v>
      </c>
      <c r="G82" s="29">
        <v>12.070000000000002</v>
      </c>
      <c r="H82" s="29">
        <v>120</v>
      </c>
      <c r="I82" s="29">
        <f t="shared" si="15"/>
        <v>19.28</v>
      </c>
      <c r="J82" s="29">
        <f t="shared" si="16"/>
        <v>26.7</v>
      </c>
      <c r="K82" s="29">
        <f t="shared" si="17"/>
        <v>22.3</v>
      </c>
      <c r="L82" s="29">
        <f t="shared" si="18"/>
        <v>12.070000000000002</v>
      </c>
      <c r="M82" s="29">
        <f t="shared" si="19"/>
        <v>120</v>
      </c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5.75" customHeight="1" x14ac:dyDescent="0.5">
      <c r="A83" s="27">
        <v>82</v>
      </c>
      <c r="B83" s="27">
        <f t="shared" si="13"/>
        <v>3</v>
      </c>
      <c r="C83" s="55">
        <f t="shared" si="14"/>
        <v>45077</v>
      </c>
      <c r="D83" s="29">
        <v>151.96</v>
      </c>
      <c r="E83" s="29">
        <v>4.0999999999999996</v>
      </c>
      <c r="F83" s="29">
        <v>36.9</v>
      </c>
      <c r="G83" s="29">
        <v>11.270000000000001</v>
      </c>
      <c r="H83" s="29">
        <v>128</v>
      </c>
      <c r="I83" s="29">
        <f t="shared" si="15"/>
        <v>96.179999999999993</v>
      </c>
      <c r="J83" s="29">
        <f t="shared" si="16"/>
        <v>4.0999999999999996</v>
      </c>
      <c r="K83" s="29">
        <f t="shared" si="17"/>
        <v>36.9</v>
      </c>
      <c r="L83" s="29">
        <f t="shared" si="18"/>
        <v>11.270000000000001</v>
      </c>
      <c r="M83" s="29">
        <f t="shared" si="19"/>
        <v>128</v>
      </c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5.75" customHeight="1" x14ac:dyDescent="0.5">
      <c r="A84" s="27">
        <v>83</v>
      </c>
      <c r="B84" s="27">
        <f t="shared" si="13"/>
        <v>4</v>
      </c>
      <c r="C84" s="55">
        <f t="shared" si="14"/>
        <v>45078</v>
      </c>
      <c r="D84" s="29">
        <v>18.059999999999999</v>
      </c>
      <c r="E84" s="29">
        <v>20.3</v>
      </c>
      <c r="F84" s="29">
        <v>32.5</v>
      </c>
      <c r="G84" s="29">
        <v>4.68</v>
      </c>
      <c r="H84" s="29">
        <v>128</v>
      </c>
      <c r="I84" s="29">
        <f t="shared" si="15"/>
        <v>18.059999999999999</v>
      </c>
      <c r="J84" s="29">
        <f t="shared" si="16"/>
        <v>20.3</v>
      </c>
      <c r="K84" s="29">
        <f t="shared" si="17"/>
        <v>32.5</v>
      </c>
      <c r="L84" s="29">
        <f t="shared" si="18"/>
        <v>4.68</v>
      </c>
      <c r="M84" s="29">
        <f t="shared" si="19"/>
        <v>128</v>
      </c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5.75" customHeight="1" x14ac:dyDescent="0.5">
      <c r="A85" s="27">
        <v>84</v>
      </c>
      <c r="B85" s="27">
        <f t="shared" si="13"/>
        <v>5</v>
      </c>
      <c r="C85" s="55">
        <f t="shared" si="14"/>
        <v>45079</v>
      </c>
      <c r="D85" s="29">
        <v>22.68</v>
      </c>
      <c r="E85" s="29">
        <v>44.5</v>
      </c>
      <c r="F85" s="29">
        <v>35.6</v>
      </c>
      <c r="G85" s="29">
        <v>14.849999999999998</v>
      </c>
      <c r="H85" s="29">
        <v>149</v>
      </c>
      <c r="I85" s="29">
        <f t="shared" si="15"/>
        <v>22.68</v>
      </c>
      <c r="J85" s="29">
        <f t="shared" si="16"/>
        <v>44.5</v>
      </c>
      <c r="K85" s="29">
        <f t="shared" si="17"/>
        <v>35.6</v>
      </c>
      <c r="L85" s="29">
        <f t="shared" si="18"/>
        <v>14.849999999999998</v>
      </c>
      <c r="M85" s="29">
        <f t="shared" si="19"/>
        <v>149</v>
      </c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5.75" customHeight="1" x14ac:dyDescent="0.5">
      <c r="A86" s="27">
        <v>85</v>
      </c>
      <c r="B86" s="27">
        <f t="shared" si="13"/>
        <v>6</v>
      </c>
      <c r="C86" s="55">
        <f t="shared" si="14"/>
        <v>45080</v>
      </c>
      <c r="D86" s="29">
        <v>45.7</v>
      </c>
      <c r="E86" s="29">
        <v>43</v>
      </c>
      <c r="F86" s="29">
        <v>33.799999999999997</v>
      </c>
      <c r="G86" s="29">
        <v>29.330000000000002</v>
      </c>
      <c r="H86" s="29">
        <v>223</v>
      </c>
      <c r="I86" s="29">
        <f t="shared" si="15"/>
        <v>45.7</v>
      </c>
      <c r="J86" s="29">
        <f t="shared" si="16"/>
        <v>43</v>
      </c>
      <c r="K86" s="29">
        <f t="shared" si="17"/>
        <v>33.799999999999997</v>
      </c>
      <c r="L86" s="29">
        <f t="shared" si="18"/>
        <v>29.330000000000002</v>
      </c>
      <c r="M86" s="29">
        <f t="shared" si="19"/>
        <v>223</v>
      </c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5.75" customHeight="1" x14ac:dyDescent="0.5">
      <c r="A87" s="27">
        <v>86</v>
      </c>
      <c r="B87" s="27">
        <f t="shared" si="13"/>
        <v>7</v>
      </c>
      <c r="C87" s="55">
        <f t="shared" si="14"/>
        <v>45081</v>
      </c>
      <c r="D87" s="29">
        <v>42.64</v>
      </c>
      <c r="E87" s="29">
        <v>18.399999999999999</v>
      </c>
      <c r="F87" s="29">
        <v>65.7</v>
      </c>
      <c r="G87" s="29">
        <v>2.2399999999999984</v>
      </c>
      <c r="H87" s="29">
        <v>159</v>
      </c>
      <c r="I87" s="29">
        <f t="shared" si="15"/>
        <v>42.64</v>
      </c>
      <c r="J87" s="29">
        <f t="shared" si="16"/>
        <v>18.399999999999999</v>
      </c>
      <c r="K87" s="29">
        <f t="shared" si="17"/>
        <v>65.7</v>
      </c>
      <c r="L87" s="29">
        <f t="shared" si="18"/>
        <v>2.2399999999999984</v>
      </c>
      <c r="M87" s="29">
        <f t="shared" si="19"/>
        <v>159</v>
      </c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5.75" customHeight="1" x14ac:dyDescent="0.5">
      <c r="A88" s="27">
        <v>87</v>
      </c>
      <c r="B88" s="27">
        <f t="shared" si="13"/>
        <v>1</v>
      </c>
      <c r="C88" s="55">
        <f t="shared" si="14"/>
        <v>45082</v>
      </c>
      <c r="D88" s="29">
        <v>21.259999999999998</v>
      </c>
      <c r="E88" s="29">
        <v>27.5</v>
      </c>
      <c r="F88" s="29">
        <v>16</v>
      </c>
      <c r="G88" s="29">
        <v>14.979999999999999</v>
      </c>
      <c r="H88" s="29">
        <v>122</v>
      </c>
      <c r="I88" s="29">
        <f t="shared" si="15"/>
        <v>21.259999999999998</v>
      </c>
      <c r="J88" s="29">
        <f t="shared" si="16"/>
        <v>27.5</v>
      </c>
      <c r="K88" s="29">
        <f t="shared" si="17"/>
        <v>16</v>
      </c>
      <c r="L88" s="29">
        <f t="shared" si="18"/>
        <v>14.979999999999999</v>
      </c>
      <c r="M88" s="29">
        <f t="shared" si="19"/>
        <v>122</v>
      </c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5.75" customHeight="1" x14ac:dyDescent="0.5">
      <c r="A89" s="27">
        <v>88</v>
      </c>
      <c r="B89" s="27">
        <f t="shared" si="13"/>
        <v>2</v>
      </c>
      <c r="C89" s="55">
        <f t="shared" si="14"/>
        <v>45083</v>
      </c>
      <c r="D89" s="29">
        <v>28.14</v>
      </c>
      <c r="E89" s="29">
        <v>40.6</v>
      </c>
      <c r="F89" s="29">
        <v>63.2</v>
      </c>
      <c r="G89" s="29">
        <v>6.09</v>
      </c>
      <c r="H89" s="29">
        <v>180</v>
      </c>
      <c r="I89" s="29">
        <f t="shared" si="15"/>
        <v>28.14</v>
      </c>
      <c r="J89" s="29">
        <f t="shared" si="16"/>
        <v>40.6</v>
      </c>
      <c r="K89" s="29">
        <f t="shared" si="17"/>
        <v>63.2</v>
      </c>
      <c r="L89" s="29">
        <f t="shared" si="18"/>
        <v>6.09</v>
      </c>
      <c r="M89" s="29">
        <f t="shared" si="19"/>
        <v>180</v>
      </c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5.75" customHeight="1" x14ac:dyDescent="0.5">
      <c r="A90" s="27">
        <v>89</v>
      </c>
      <c r="B90" s="27">
        <f t="shared" si="13"/>
        <v>3</v>
      </c>
      <c r="C90" s="55">
        <f t="shared" si="14"/>
        <v>45084</v>
      </c>
      <c r="D90" s="29">
        <v>27.66</v>
      </c>
      <c r="E90" s="29">
        <v>225.5</v>
      </c>
      <c r="F90" s="29">
        <v>73.400000000000006</v>
      </c>
      <c r="G90" s="29">
        <v>12.219999999999995</v>
      </c>
      <c r="H90" s="29">
        <v>147</v>
      </c>
      <c r="I90" s="29">
        <f t="shared" si="15"/>
        <v>27.66</v>
      </c>
      <c r="J90" s="29">
        <f t="shared" si="16"/>
        <v>76.949999999999989</v>
      </c>
      <c r="K90" s="29">
        <f t="shared" si="17"/>
        <v>73.400000000000006</v>
      </c>
      <c r="L90" s="29">
        <f t="shared" si="18"/>
        <v>12.219999999999995</v>
      </c>
      <c r="M90" s="29">
        <f t="shared" si="19"/>
        <v>147</v>
      </c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5.75" customHeight="1" x14ac:dyDescent="0.5">
      <c r="A91" s="27">
        <v>90</v>
      </c>
      <c r="B91" s="27">
        <f t="shared" si="13"/>
        <v>4</v>
      </c>
      <c r="C91" s="55">
        <f t="shared" si="14"/>
        <v>45085</v>
      </c>
      <c r="D91" s="29">
        <v>23.96</v>
      </c>
      <c r="E91" s="29">
        <v>47.8</v>
      </c>
      <c r="F91" s="29">
        <v>51.4</v>
      </c>
      <c r="G91" s="29">
        <v>14.319999999999993</v>
      </c>
      <c r="H91" s="29">
        <v>177</v>
      </c>
      <c r="I91" s="29">
        <f t="shared" si="15"/>
        <v>23.96</v>
      </c>
      <c r="J91" s="29">
        <f t="shared" si="16"/>
        <v>47.8</v>
      </c>
      <c r="K91" s="29">
        <f t="shared" si="17"/>
        <v>51.4</v>
      </c>
      <c r="L91" s="29">
        <f t="shared" si="18"/>
        <v>14.319999999999993</v>
      </c>
      <c r="M91" s="29">
        <f t="shared" si="19"/>
        <v>177</v>
      </c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5.75" customHeight="1" x14ac:dyDescent="0.5">
      <c r="A92" s="27">
        <v>91</v>
      </c>
      <c r="B92" s="27">
        <f t="shared" si="13"/>
        <v>5</v>
      </c>
      <c r="C92" s="55">
        <f t="shared" si="14"/>
        <v>45086</v>
      </c>
      <c r="D92" s="29">
        <v>31.860000000000003</v>
      </c>
      <c r="E92" s="29">
        <v>4.9000000000000004</v>
      </c>
      <c r="F92" s="29">
        <v>9.3000000000000007</v>
      </c>
      <c r="G92" s="29">
        <v>12.160000000000002</v>
      </c>
      <c r="H92" s="29">
        <v>93</v>
      </c>
      <c r="I92" s="29">
        <f t="shared" si="15"/>
        <v>31.860000000000003</v>
      </c>
      <c r="J92" s="29">
        <f t="shared" si="16"/>
        <v>4.9000000000000004</v>
      </c>
      <c r="K92" s="29">
        <f t="shared" si="17"/>
        <v>9.3000000000000007</v>
      </c>
      <c r="L92" s="29">
        <f t="shared" si="18"/>
        <v>12.160000000000002</v>
      </c>
      <c r="M92" s="29">
        <f t="shared" si="19"/>
        <v>93</v>
      </c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5.75" customHeight="1" x14ac:dyDescent="0.5">
      <c r="A93" s="27">
        <v>92</v>
      </c>
      <c r="B93" s="27">
        <f t="shared" si="13"/>
        <v>6</v>
      </c>
      <c r="C93" s="55">
        <f t="shared" si="14"/>
        <v>45087</v>
      </c>
      <c r="D93" s="29">
        <v>14.72</v>
      </c>
      <c r="E93" s="29">
        <v>1.5</v>
      </c>
      <c r="F93" s="29">
        <v>33</v>
      </c>
      <c r="G93" s="29">
        <v>10.41</v>
      </c>
      <c r="H93" s="29">
        <v>74</v>
      </c>
      <c r="I93" s="29">
        <f t="shared" si="15"/>
        <v>14.72</v>
      </c>
      <c r="J93" s="29">
        <f t="shared" si="16"/>
        <v>1.5</v>
      </c>
      <c r="K93" s="29">
        <f t="shared" si="17"/>
        <v>33</v>
      </c>
      <c r="L93" s="29">
        <f t="shared" si="18"/>
        <v>10.41</v>
      </c>
      <c r="M93" s="29">
        <f t="shared" si="19"/>
        <v>74</v>
      </c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5.75" customHeight="1" x14ac:dyDescent="0.5">
      <c r="A94" s="27">
        <v>93</v>
      </c>
      <c r="B94" s="27">
        <f t="shared" si="13"/>
        <v>7</v>
      </c>
      <c r="C94" s="55">
        <f t="shared" si="14"/>
        <v>45088</v>
      </c>
      <c r="D94" s="29">
        <v>47.54</v>
      </c>
      <c r="E94" s="29">
        <v>33.5</v>
      </c>
      <c r="F94" s="29">
        <v>59</v>
      </c>
      <c r="G94" s="29">
        <v>14.919999999999995</v>
      </c>
      <c r="H94" s="29">
        <v>811</v>
      </c>
      <c r="I94" s="29">
        <f t="shared" si="15"/>
        <v>47.54</v>
      </c>
      <c r="J94" s="29">
        <f t="shared" si="16"/>
        <v>33.5</v>
      </c>
      <c r="K94" s="29">
        <f t="shared" si="17"/>
        <v>59</v>
      </c>
      <c r="L94" s="29">
        <f t="shared" si="18"/>
        <v>14.919999999999995</v>
      </c>
      <c r="M94" s="29">
        <f t="shared" si="19"/>
        <v>291.75</v>
      </c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5.75" customHeight="1" x14ac:dyDescent="0.5">
      <c r="A95" s="27">
        <v>94</v>
      </c>
      <c r="B95" s="27">
        <f t="shared" si="13"/>
        <v>1</v>
      </c>
      <c r="C95" s="55">
        <f t="shared" si="14"/>
        <v>45089</v>
      </c>
      <c r="D95" s="29">
        <v>56.18</v>
      </c>
      <c r="E95" s="29">
        <v>36.5</v>
      </c>
      <c r="F95" s="29">
        <v>72.3</v>
      </c>
      <c r="G95" s="29">
        <v>14.420000000000002</v>
      </c>
      <c r="H95" s="29">
        <v>225</v>
      </c>
      <c r="I95" s="29">
        <f t="shared" si="15"/>
        <v>56.18</v>
      </c>
      <c r="J95" s="29">
        <f t="shared" si="16"/>
        <v>36.5</v>
      </c>
      <c r="K95" s="29">
        <f t="shared" si="17"/>
        <v>72.3</v>
      </c>
      <c r="L95" s="29">
        <f t="shared" si="18"/>
        <v>14.420000000000002</v>
      </c>
      <c r="M95" s="29">
        <f t="shared" si="19"/>
        <v>225</v>
      </c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 x14ac:dyDescent="0.5">
      <c r="A96" s="27">
        <v>95</v>
      </c>
      <c r="B96" s="27">
        <f t="shared" si="13"/>
        <v>2</v>
      </c>
      <c r="C96" s="55">
        <f t="shared" si="14"/>
        <v>45090</v>
      </c>
      <c r="D96" s="29">
        <v>30.48</v>
      </c>
      <c r="E96" s="29">
        <v>14</v>
      </c>
      <c r="F96" s="29">
        <v>10.9</v>
      </c>
      <c r="G96" s="29">
        <v>13.380000000000003</v>
      </c>
      <c r="H96" s="29">
        <v>117</v>
      </c>
      <c r="I96" s="29">
        <f t="shared" si="15"/>
        <v>30.48</v>
      </c>
      <c r="J96" s="29">
        <f t="shared" si="16"/>
        <v>14</v>
      </c>
      <c r="K96" s="29">
        <f t="shared" si="17"/>
        <v>10.9</v>
      </c>
      <c r="L96" s="29">
        <f t="shared" si="18"/>
        <v>13.380000000000003</v>
      </c>
      <c r="M96" s="29">
        <f t="shared" si="19"/>
        <v>117</v>
      </c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 x14ac:dyDescent="0.5">
      <c r="A97" s="27">
        <v>96</v>
      </c>
      <c r="B97" s="27">
        <f t="shared" si="13"/>
        <v>3</v>
      </c>
      <c r="C97" s="55">
        <f t="shared" si="14"/>
        <v>45091</v>
      </c>
      <c r="D97" s="29">
        <v>40.660000000000004</v>
      </c>
      <c r="E97" s="29">
        <v>31.6</v>
      </c>
      <c r="F97" s="29">
        <v>52.9</v>
      </c>
      <c r="G97" s="29">
        <v>10.970000000000002</v>
      </c>
      <c r="H97" s="29">
        <v>175</v>
      </c>
      <c r="I97" s="29">
        <f t="shared" si="15"/>
        <v>40.660000000000004</v>
      </c>
      <c r="J97" s="29">
        <f t="shared" si="16"/>
        <v>31.6</v>
      </c>
      <c r="K97" s="29">
        <f t="shared" si="17"/>
        <v>52.9</v>
      </c>
      <c r="L97" s="29">
        <f t="shared" si="18"/>
        <v>10.970000000000002</v>
      </c>
      <c r="M97" s="29">
        <f t="shared" si="19"/>
        <v>175</v>
      </c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 x14ac:dyDescent="0.5">
      <c r="A98" s="27">
        <v>97</v>
      </c>
      <c r="B98" s="27">
        <f t="shared" ref="B98:B129" si="20">WEEKDAY(C98,2)</f>
        <v>4</v>
      </c>
      <c r="C98" s="55">
        <f t="shared" ref="C98:C129" si="21">+C99-1</f>
        <v>45092</v>
      </c>
      <c r="D98" s="29">
        <v>46.519999999999996</v>
      </c>
      <c r="E98" s="29">
        <v>3.5</v>
      </c>
      <c r="F98" s="29">
        <v>5.9</v>
      </c>
      <c r="G98" s="29">
        <v>19.149999999999999</v>
      </c>
      <c r="H98" s="29">
        <v>132</v>
      </c>
      <c r="I98" s="29">
        <f t="shared" si="15"/>
        <v>46.519999999999996</v>
      </c>
      <c r="J98" s="29">
        <f t="shared" si="16"/>
        <v>3.5</v>
      </c>
      <c r="K98" s="29">
        <f t="shared" si="17"/>
        <v>5.9</v>
      </c>
      <c r="L98" s="29">
        <f t="shared" si="18"/>
        <v>19.149999999999999</v>
      </c>
      <c r="M98" s="29">
        <f t="shared" si="19"/>
        <v>132</v>
      </c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 x14ac:dyDescent="0.5">
      <c r="A99" s="27">
        <v>98</v>
      </c>
      <c r="B99" s="27">
        <f t="shared" si="20"/>
        <v>5</v>
      </c>
      <c r="C99" s="55">
        <f t="shared" si="21"/>
        <v>45093</v>
      </c>
      <c r="D99" s="29">
        <v>41.980000000000004</v>
      </c>
      <c r="E99" s="29">
        <v>21</v>
      </c>
      <c r="F99" s="29">
        <v>22</v>
      </c>
      <c r="G99" s="29">
        <v>20.190000000000001</v>
      </c>
      <c r="H99" s="29">
        <v>168</v>
      </c>
      <c r="I99" s="29">
        <f t="shared" si="15"/>
        <v>41.980000000000004</v>
      </c>
      <c r="J99" s="29">
        <f t="shared" si="16"/>
        <v>21</v>
      </c>
      <c r="K99" s="29">
        <f t="shared" si="17"/>
        <v>22</v>
      </c>
      <c r="L99" s="29">
        <f t="shared" si="18"/>
        <v>20.190000000000001</v>
      </c>
      <c r="M99" s="29">
        <f t="shared" si="19"/>
        <v>168</v>
      </c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 x14ac:dyDescent="0.5">
      <c r="A100" s="27">
        <v>99</v>
      </c>
      <c r="B100" s="27">
        <f t="shared" si="20"/>
        <v>6</v>
      </c>
      <c r="C100" s="55">
        <f t="shared" si="21"/>
        <v>45094</v>
      </c>
      <c r="D100" s="29">
        <v>64.94</v>
      </c>
      <c r="E100" s="29">
        <v>42.3</v>
      </c>
      <c r="F100" s="29">
        <v>51.2</v>
      </c>
      <c r="G100" s="29">
        <v>29.639999999999993</v>
      </c>
      <c r="H100" s="29">
        <v>257</v>
      </c>
      <c r="I100" s="29">
        <f t="shared" si="15"/>
        <v>64.94</v>
      </c>
      <c r="J100" s="29">
        <f t="shared" si="16"/>
        <v>42.3</v>
      </c>
      <c r="K100" s="29">
        <f t="shared" si="17"/>
        <v>51.2</v>
      </c>
      <c r="L100" s="29">
        <f t="shared" si="18"/>
        <v>29.639999999999993</v>
      </c>
      <c r="M100" s="29">
        <f t="shared" si="19"/>
        <v>257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 x14ac:dyDescent="0.5">
      <c r="A101" s="27">
        <v>100</v>
      </c>
      <c r="B101" s="27">
        <f t="shared" si="20"/>
        <v>7</v>
      </c>
      <c r="C101" s="55">
        <f t="shared" si="21"/>
        <v>45095</v>
      </c>
      <c r="D101" s="29">
        <v>28.04</v>
      </c>
      <c r="E101" s="29">
        <v>41.7</v>
      </c>
      <c r="F101" s="29">
        <v>45.9</v>
      </c>
      <c r="G101" s="29">
        <v>16.010000000000005</v>
      </c>
      <c r="H101" s="29">
        <v>183</v>
      </c>
      <c r="I101" s="29">
        <f t="shared" si="15"/>
        <v>28.04</v>
      </c>
      <c r="J101" s="29">
        <f t="shared" si="16"/>
        <v>41.7</v>
      </c>
      <c r="K101" s="29">
        <f t="shared" si="17"/>
        <v>45.9</v>
      </c>
      <c r="L101" s="29">
        <f t="shared" si="18"/>
        <v>16.010000000000005</v>
      </c>
      <c r="M101" s="29">
        <f t="shared" si="19"/>
        <v>183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 x14ac:dyDescent="0.5">
      <c r="A102" s="27">
        <v>101</v>
      </c>
      <c r="B102" s="27">
        <f t="shared" si="20"/>
        <v>1</v>
      </c>
      <c r="C102" s="55">
        <f t="shared" si="21"/>
        <v>45096</v>
      </c>
      <c r="D102" s="29">
        <v>51.480000000000004</v>
      </c>
      <c r="E102" s="29">
        <v>4.3</v>
      </c>
      <c r="F102" s="29">
        <v>49.8</v>
      </c>
      <c r="G102" s="29">
        <v>4.4699999999999989</v>
      </c>
      <c r="H102" s="29">
        <v>137</v>
      </c>
      <c r="I102" s="29">
        <f t="shared" si="15"/>
        <v>51.480000000000004</v>
      </c>
      <c r="J102" s="29">
        <f t="shared" si="16"/>
        <v>4.3</v>
      </c>
      <c r="K102" s="29">
        <f t="shared" si="17"/>
        <v>49.8</v>
      </c>
      <c r="L102" s="29">
        <f t="shared" si="18"/>
        <v>4.4699999999999989</v>
      </c>
      <c r="M102" s="29">
        <f t="shared" si="19"/>
        <v>137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 x14ac:dyDescent="0.5">
      <c r="A103" s="27">
        <v>102</v>
      </c>
      <c r="B103" s="27">
        <f t="shared" si="20"/>
        <v>2</v>
      </c>
      <c r="C103" s="55">
        <f t="shared" si="21"/>
        <v>45097</v>
      </c>
      <c r="D103" s="29">
        <v>63.279999999999994</v>
      </c>
      <c r="E103" s="29">
        <v>36.299999999999997</v>
      </c>
      <c r="F103" s="29">
        <v>93.625</v>
      </c>
      <c r="G103" s="29">
        <v>10.339999999999989</v>
      </c>
      <c r="H103" s="29">
        <v>254</v>
      </c>
      <c r="I103" s="29">
        <f t="shared" si="15"/>
        <v>63.279999999999994</v>
      </c>
      <c r="J103" s="29">
        <f t="shared" si="16"/>
        <v>36.299999999999997</v>
      </c>
      <c r="K103" s="29">
        <f t="shared" si="17"/>
        <v>93.625</v>
      </c>
      <c r="L103" s="29">
        <f t="shared" si="18"/>
        <v>10.339999999999989</v>
      </c>
      <c r="M103" s="29">
        <f t="shared" si="19"/>
        <v>254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 x14ac:dyDescent="0.5">
      <c r="A104" s="27">
        <v>103</v>
      </c>
      <c r="B104" s="27">
        <f t="shared" si="20"/>
        <v>3</v>
      </c>
      <c r="C104" s="55">
        <f t="shared" si="21"/>
        <v>45098</v>
      </c>
      <c r="D104" s="29">
        <v>64.039999999999992</v>
      </c>
      <c r="E104" s="29">
        <v>10.1</v>
      </c>
      <c r="F104" s="29">
        <v>21.4</v>
      </c>
      <c r="G104" s="29">
        <v>24.509999999999998</v>
      </c>
      <c r="H104" s="29">
        <v>158</v>
      </c>
      <c r="I104" s="29">
        <f t="shared" si="15"/>
        <v>64.039999999999992</v>
      </c>
      <c r="J104" s="29">
        <f t="shared" si="16"/>
        <v>10.1</v>
      </c>
      <c r="K104" s="29">
        <f t="shared" si="17"/>
        <v>21.4</v>
      </c>
      <c r="L104" s="29">
        <f t="shared" si="18"/>
        <v>24.509999999999998</v>
      </c>
      <c r="M104" s="29">
        <f t="shared" si="19"/>
        <v>158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 x14ac:dyDescent="0.5">
      <c r="A105" s="27">
        <v>104</v>
      </c>
      <c r="B105" s="27">
        <f t="shared" si="20"/>
        <v>4</v>
      </c>
      <c r="C105" s="55">
        <f t="shared" si="21"/>
        <v>45099</v>
      </c>
      <c r="D105" s="29">
        <v>38.58</v>
      </c>
      <c r="E105" s="29">
        <v>17.2</v>
      </c>
      <c r="F105" s="29">
        <v>17.899999999999999</v>
      </c>
      <c r="G105" s="29">
        <v>20.23</v>
      </c>
      <c r="H105" s="29">
        <v>163</v>
      </c>
      <c r="I105" s="29">
        <f t="shared" si="15"/>
        <v>38.58</v>
      </c>
      <c r="J105" s="29">
        <f t="shared" si="16"/>
        <v>17.2</v>
      </c>
      <c r="K105" s="29">
        <f t="shared" si="17"/>
        <v>17.899999999999999</v>
      </c>
      <c r="L105" s="29">
        <f t="shared" si="18"/>
        <v>20.23</v>
      </c>
      <c r="M105" s="29">
        <f t="shared" si="19"/>
        <v>163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 x14ac:dyDescent="0.5">
      <c r="A106" s="27">
        <v>105</v>
      </c>
      <c r="B106" s="27">
        <f t="shared" si="20"/>
        <v>5</v>
      </c>
      <c r="C106" s="55">
        <f t="shared" si="21"/>
        <v>45100</v>
      </c>
      <c r="D106" s="29">
        <v>54.64</v>
      </c>
      <c r="E106" s="29">
        <v>34.299999999999997</v>
      </c>
      <c r="F106" s="29">
        <v>5.3</v>
      </c>
      <c r="G106" s="29">
        <v>38.85</v>
      </c>
      <c r="H106" s="29">
        <v>208</v>
      </c>
      <c r="I106" s="29">
        <f t="shared" si="15"/>
        <v>54.64</v>
      </c>
      <c r="J106" s="29">
        <f t="shared" si="16"/>
        <v>34.299999999999997</v>
      </c>
      <c r="K106" s="29">
        <f t="shared" si="17"/>
        <v>5.3</v>
      </c>
      <c r="L106" s="29">
        <f t="shared" si="18"/>
        <v>38.85</v>
      </c>
      <c r="M106" s="29">
        <f t="shared" si="19"/>
        <v>208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 x14ac:dyDescent="0.5">
      <c r="A107" s="27">
        <v>106</v>
      </c>
      <c r="B107" s="27">
        <f t="shared" si="20"/>
        <v>6</v>
      </c>
      <c r="C107" s="55">
        <f t="shared" si="21"/>
        <v>45101</v>
      </c>
      <c r="D107" s="29">
        <v>37.58</v>
      </c>
      <c r="E107" s="29">
        <v>46.4</v>
      </c>
      <c r="F107" s="29">
        <v>59</v>
      </c>
      <c r="G107" s="29">
        <v>13.39</v>
      </c>
      <c r="H107" s="29">
        <v>196</v>
      </c>
      <c r="I107" s="29">
        <f t="shared" si="15"/>
        <v>37.58</v>
      </c>
      <c r="J107" s="29">
        <f t="shared" si="16"/>
        <v>46.4</v>
      </c>
      <c r="K107" s="29">
        <f t="shared" si="17"/>
        <v>59</v>
      </c>
      <c r="L107" s="29">
        <f t="shared" si="18"/>
        <v>13.39</v>
      </c>
      <c r="M107" s="29">
        <f t="shared" si="19"/>
        <v>196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 x14ac:dyDescent="0.5">
      <c r="A108" s="27">
        <v>107</v>
      </c>
      <c r="B108" s="27">
        <f t="shared" si="20"/>
        <v>7</v>
      </c>
      <c r="C108" s="55">
        <f t="shared" si="21"/>
        <v>45102</v>
      </c>
      <c r="D108" s="29">
        <v>8</v>
      </c>
      <c r="E108" s="29">
        <v>11</v>
      </c>
      <c r="F108" s="29">
        <v>29.7</v>
      </c>
      <c r="G108" s="29">
        <v>16.119999999999997</v>
      </c>
      <c r="H108" s="29">
        <v>86</v>
      </c>
      <c r="I108" s="29">
        <f t="shared" si="15"/>
        <v>8</v>
      </c>
      <c r="J108" s="29">
        <f t="shared" si="16"/>
        <v>11</v>
      </c>
      <c r="K108" s="29">
        <f t="shared" si="17"/>
        <v>29.7</v>
      </c>
      <c r="L108" s="29">
        <f t="shared" si="18"/>
        <v>16.119999999999997</v>
      </c>
      <c r="M108" s="29">
        <f t="shared" si="19"/>
        <v>86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 x14ac:dyDescent="0.5">
      <c r="A109" s="27">
        <v>108</v>
      </c>
      <c r="B109" s="27">
        <f t="shared" si="20"/>
        <v>1</v>
      </c>
      <c r="C109" s="55">
        <f t="shared" si="21"/>
        <v>45103</v>
      </c>
      <c r="D109" s="29">
        <v>27.080000000000002</v>
      </c>
      <c r="E109" s="29">
        <v>0.3</v>
      </c>
      <c r="F109" s="29">
        <v>23.2</v>
      </c>
      <c r="G109" s="29">
        <v>19.910000000000004</v>
      </c>
      <c r="H109" s="29">
        <v>104</v>
      </c>
      <c r="I109" s="29">
        <f t="shared" si="15"/>
        <v>27.080000000000002</v>
      </c>
      <c r="J109" s="29">
        <f t="shared" si="16"/>
        <v>0.3</v>
      </c>
      <c r="K109" s="29">
        <f t="shared" si="17"/>
        <v>23.2</v>
      </c>
      <c r="L109" s="29">
        <f t="shared" si="18"/>
        <v>19.910000000000004</v>
      </c>
      <c r="M109" s="29">
        <f t="shared" si="19"/>
        <v>104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 x14ac:dyDescent="0.5">
      <c r="A110" s="27">
        <v>109</v>
      </c>
      <c r="B110" s="27">
        <f t="shared" si="20"/>
        <v>2</v>
      </c>
      <c r="C110" s="55">
        <f t="shared" si="21"/>
        <v>45104</v>
      </c>
      <c r="D110" s="29">
        <v>9.620000000000001</v>
      </c>
      <c r="E110" s="29">
        <v>0.4</v>
      </c>
      <c r="F110" s="29">
        <v>25.6</v>
      </c>
      <c r="G110" s="29">
        <v>11.269999999999998</v>
      </c>
      <c r="H110" s="29">
        <v>54</v>
      </c>
      <c r="I110" s="29">
        <f t="shared" si="15"/>
        <v>9.620000000000001</v>
      </c>
      <c r="J110" s="29">
        <f t="shared" si="16"/>
        <v>0.4</v>
      </c>
      <c r="K110" s="29">
        <f t="shared" si="17"/>
        <v>25.6</v>
      </c>
      <c r="L110" s="29">
        <f t="shared" si="18"/>
        <v>11.269999999999998</v>
      </c>
      <c r="M110" s="29">
        <f t="shared" si="19"/>
        <v>54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 x14ac:dyDescent="0.5">
      <c r="A111" s="27">
        <v>110</v>
      </c>
      <c r="B111" s="27">
        <f t="shared" si="20"/>
        <v>3</v>
      </c>
      <c r="C111" s="55">
        <f t="shared" si="21"/>
        <v>45105</v>
      </c>
      <c r="D111" s="29">
        <v>53.08</v>
      </c>
      <c r="E111" s="29">
        <v>26.9</v>
      </c>
      <c r="F111" s="29">
        <v>5.5</v>
      </c>
      <c r="G111" s="29">
        <v>36.789999999999992</v>
      </c>
      <c r="H111" s="29">
        <v>140.72222222222223</v>
      </c>
      <c r="I111" s="29">
        <f t="shared" si="15"/>
        <v>53.08</v>
      </c>
      <c r="J111" s="29">
        <f t="shared" si="16"/>
        <v>26.9</v>
      </c>
      <c r="K111" s="29">
        <f t="shared" si="17"/>
        <v>5.5</v>
      </c>
      <c r="L111" s="29">
        <f t="shared" si="18"/>
        <v>36.789999999999992</v>
      </c>
      <c r="M111" s="29">
        <f t="shared" si="19"/>
        <v>140.72222222222223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 x14ac:dyDescent="0.5">
      <c r="A112" s="27">
        <v>111</v>
      </c>
      <c r="B112" s="27">
        <f t="shared" si="20"/>
        <v>4</v>
      </c>
      <c r="C112" s="55">
        <f t="shared" si="21"/>
        <v>45106</v>
      </c>
      <c r="D112" s="29">
        <v>54.160000000000004</v>
      </c>
      <c r="E112" s="29">
        <v>8.1999999999999993</v>
      </c>
      <c r="F112" s="29">
        <v>56.5</v>
      </c>
      <c r="G112" s="29">
        <v>4.0799999999999983</v>
      </c>
      <c r="H112" s="29">
        <v>150</v>
      </c>
      <c r="I112" s="29">
        <f t="shared" si="15"/>
        <v>54.160000000000004</v>
      </c>
      <c r="J112" s="29">
        <f t="shared" si="16"/>
        <v>8.1999999999999993</v>
      </c>
      <c r="K112" s="29">
        <f t="shared" si="17"/>
        <v>56.5</v>
      </c>
      <c r="L112" s="29">
        <f t="shared" si="18"/>
        <v>4.0799999999999983</v>
      </c>
      <c r="M112" s="29">
        <f t="shared" si="19"/>
        <v>150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 x14ac:dyDescent="0.5">
      <c r="A113" s="27">
        <v>112</v>
      </c>
      <c r="B113" s="27">
        <f t="shared" si="20"/>
        <v>5</v>
      </c>
      <c r="C113" s="55">
        <f t="shared" si="21"/>
        <v>45107</v>
      </c>
      <c r="D113" s="29">
        <v>55.339999999999996</v>
      </c>
      <c r="E113" s="29">
        <v>38</v>
      </c>
      <c r="F113" s="29">
        <v>23.2</v>
      </c>
      <c r="G113" s="29">
        <v>33.89</v>
      </c>
      <c r="H113" s="29">
        <v>221</v>
      </c>
      <c r="I113" s="29">
        <f t="shared" si="15"/>
        <v>55.339999999999996</v>
      </c>
      <c r="J113" s="29">
        <f t="shared" si="16"/>
        <v>38</v>
      </c>
      <c r="K113" s="29">
        <f t="shared" si="17"/>
        <v>23.2</v>
      </c>
      <c r="L113" s="29">
        <f t="shared" si="18"/>
        <v>33.89</v>
      </c>
      <c r="M113" s="29">
        <f t="shared" si="19"/>
        <v>221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 x14ac:dyDescent="0.5">
      <c r="A114" s="27">
        <v>113</v>
      </c>
      <c r="B114" s="27">
        <f t="shared" si="20"/>
        <v>6</v>
      </c>
      <c r="C114" s="55">
        <f t="shared" si="21"/>
        <v>45108</v>
      </c>
      <c r="D114" s="29">
        <v>39.14</v>
      </c>
      <c r="E114" s="29">
        <v>15.4</v>
      </c>
      <c r="F114" s="29">
        <v>2.4</v>
      </c>
      <c r="G114" s="29">
        <v>24.31</v>
      </c>
      <c r="H114" s="29">
        <v>159</v>
      </c>
      <c r="I114" s="29">
        <f t="shared" si="15"/>
        <v>39.14</v>
      </c>
      <c r="J114" s="29">
        <f t="shared" si="16"/>
        <v>15.4</v>
      </c>
      <c r="K114" s="29">
        <f t="shared" si="17"/>
        <v>2.4</v>
      </c>
      <c r="L114" s="29">
        <f t="shared" si="18"/>
        <v>24.31</v>
      </c>
      <c r="M114" s="29">
        <f t="shared" si="19"/>
        <v>159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 x14ac:dyDescent="0.5">
      <c r="A115" s="27">
        <v>114</v>
      </c>
      <c r="B115" s="27">
        <f t="shared" si="20"/>
        <v>7</v>
      </c>
      <c r="C115" s="55">
        <f t="shared" si="21"/>
        <v>45109</v>
      </c>
      <c r="D115" s="29">
        <v>44.92</v>
      </c>
      <c r="E115" s="29">
        <v>20.6</v>
      </c>
      <c r="F115" s="29">
        <v>10.7</v>
      </c>
      <c r="G115" s="29">
        <v>26.98</v>
      </c>
      <c r="H115" s="29">
        <v>167</v>
      </c>
      <c r="I115" s="29">
        <f t="shared" si="15"/>
        <v>44.92</v>
      </c>
      <c r="J115" s="29">
        <f t="shared" si="16"/>
        <v>20.6</v>
      </c>
      <c r="K115" s="29">
        <f t="shared" si="17"/>
        <v>10.7</v>
      </c>
      <c r="L115" s="29">
        <f t="shared" si="18"/>
        <v>26.98</v>
      </c>
      <c r="M115" s="29">
        <f t="shared" si="19"/>
        <v>167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 x14ac:dyDescent="0.5">
      <c r="A116" s="27">
        <v>115</v>
      </c>
      <c r="B116" s="27">
        <f t="shared" si="20"/>
        <v>1</v>
      </c>
      <c r="C116" s="55">
        <f t="shared" si="21"/>
        <v>45110</v>
      </c>
      <c r="D116" s="29">
        <v>18.64</v>
      </c>
      <c r="E116" s="29">
        <v>46.8</v>
      </c>
      <c r="F116" s="29">
        <v>34.5</v>
      </c>
      <c r="G116" s="29">
        <v>17.419999999999998</v>
      </c>
      <c r="H116" s="29">
        <v>152</v>
      </c>
      <c r="I116" s="29">
        <f t="shared" si="15"/>
        <v>18.64</v>
      </c>
      <c r="J116" s="29">
        <f t="shared" si="16"/>
        <v>46.8</v>
      </c>
      <c r="K116" s="29">
        <f t="shared" si="17"/>
        <v>34.5</v>
      </c>
      <c r="L116" s="29">
        <f t="shared" si="18"/>
        <v>17.419999999999998</v>
      </c>
      <c r="M116" s="29">
        <f t="shared" si="19"/>
        <v>152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 x14ac:dyDescent="0.5">
      <c r="A117" s="27">
        <v>116</v>
      </c>
      <c r="B117" s="27">
        <f t="shared" si="20"/>
        <v>2</v>
      </c>
      <c r="C117" s="55">
        <f t="shared" si="21"/>
        <v>45111</v>
      </c>
      <c r="D117" s="29">
        <v>24.02</v>
      </c>
      <c r="E117" s="29">
        <v>35</v>
      </c>
      <c r="F117" s="29">
        <v>52.7</v>
      </c>
      <c r="G117" s="29">
        <v>3.9299999999999962</v>
      </c>
      <c r="H117" s="29">
        <v>133</v>
      </c>
      <c r="I117" s="29">
        <f t="shared" si="15"/>
        <v>24.02</v>
      </c>
      <c r="J117" s="29">
        <f t="shared" si="16"/>
        <v>35</v>
      </c>
      <c r="K117" s="29">
        <f t="shared" si="17"/>
        <v>52.7</v>
      </c>
      <c r="L117" s="29">
        <f t="shared" si="18"/>
        <v>3.9299999999999962</v>
      </c>
      <c r="M117" s="29">
        <f t="shared" si="19"/>
        <v>133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 x14ac:dyDescent="0.5">
      <c r="A118" s="27">
        <v>117</v>
      </c>
      <c r="B118" s="27">
        <f t="shared" si="20"/>
        <v>3</v>
      </c>
      <c r="C118" s="55">
        <f t="shared" si="21"/>
        <v>45112</v>
      </c>
      <c r="D118" s="29">
        <v>37.839999999999996</v>
      </c>
      <c r="E118" s="29">
        <v>14.3</v>
      </c>
      <c r="F118" s="29">
        <v>25.6</v>
      </c>
      <c r="G118" s="29">
        <v>10.829999999999998</v>
      </c>
      <c r="H118" s="29">
        <v>129</v>
      </c>
      <c r="I118" s="29">
        <f t="shared" si="15"/>
        <v>37.839999999999996</v>
      </c>
      <c r="J118" s="29">
        <f t="shared" si="16"/>
        <v>14.3</v>
      </c>
      <c r="K118" s="29">
        <f t="shared" si="17"/>
        <v>25.6</v>
      </c>
      <c r="L118" s="29">
        <f t="shared" si="18"/>
        <v>10.829999999999998</v>
      </c>
      <c r="M118" s="29">
        <f t="shared" si="19"/>
        <v>129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 x14ac:dyDescent="0.5">
      <c r="A119" s="27">
        <v>118</v>
      </c>
      <c r="B119" s="27">
        <f t="shared" si="20"/>
        <v>4</v>
      </c>
      <c r="C119" s="55">
        <f t="shared" si="21"/>
        <v>45113</v>
      </c>
      <c r="D119" s="29">
        <v>25.28</v>
      </c>
      <c r="E119" s="29">
        <v>0.8</v>
      </c>
      <c r="F119" s="29">
        <v>14.8</v>
      </c>
      <c r="G119" s="29">
        <v>2.12</v>
      </c>
      <c r="H119" s="29">
        <v>108</v>
      </c>
      <c r="I119" s="29">
        <f t="shared" si="15"/>
        <v>25.28</v>
      </c>
      <c r="J119" s="29">
        <f t="shared" si="16"/>
        <v>0.8</v>
      </c>
      <c r="K119" s="29">
        <f t="shared" si="17"/>
        <v>14.8</v>
      </c>
      <c r="L119" s="29">
        <f t="shared" si="18"/>
        <v>2.12</v>
      </c>
      <c r="M119" s="29">
        <f t="shared" si="19"/>
        <v>108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 x14ac:dyDescent="0.5">
      <c r="A120" s="27">
        <v>119</v>
      </c>
      <c r="B120" s="27">
        <f t="shared" si="20"/>
        <v>5</v>
      </c>
      <c r="C120" s="55">
        <f t="shared" si="21"/>
        <v>45114</v>
      </c>
      <c r="D120" s="29">
        <v>29.14</v>
      </c>
      <c r="E120" s="29">
        <v>36.9</v>
      </c>
      <c r="F120" s="29">
        <v>79.2</v>
      </c>
      <c r="G120" s="29">
        <v>19.339999999999996</v>
      </c>
      <c r="H120" s="29">
        <v>172</v>
      </c>
      <c r="I120" s="29">
        <f t="shared" si="15"/>
        <v>29.14</v>
      </c>
      <c r="J120" s="29">
        <f t="shared" si="16"/>
        <v>36.9</v>
      </c>
      <c r="K120" s="29">
        <f t="shared" si="17"/>
        <v>79.2</v>
      </c>
      <c r="L120" s="29">
        <f t="shared" si="18"/>
        <v>19.339999999999996</v>
      </c>
      <c r="M120" s="29">
        <f t="shared" si="19"/>
        <v>172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 x14ac:dyDescent="0.5">
      <c r="A121" s="27">
        <v>120</v>
      </c>
      <c r="B121" s="27">
        <f t="shared" si="20"/>
        <v>6</v>
      </c>
      <c r="C121" s="55">
        <f t="shared" si="21"/>
        <v>45115</v>
      </c>
      <c r="D121" s="29">
        <v>9.879999999999999</v>
      </c>
      <c r="E121" s="29">
        <v>16</v>
      </c>
      <c r="F121" s="29">
        <v>22.3</v>
      </c>
      <c r="G121" s="29">
        <v>1.0199999999999996</v>
      </c>
      <c r="H121" s="29">
        <v>77</v>
      </c>
      <c r="I121" s="29">
        <f t="shared" si="15"/>
        <v>9.879999999999999</v>
      </c>
      <c r="J121" s="29">
        <f t="shared" si="16"/>
        <v>16</v>
      </c>
      <c r="K121" s="29">
        <f t="shared" si="17"/>
        <v>22.3</v>
      </c>
      <c r="L121" s="29">
        <f t="shared" si="18"/>
        <v>1.0199999999999996</v>
      </c>
      <c r="M121" s="29">
        <f t="shared" si="19"/>
        <v>77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 x14ac:dyDescent="0.5">
      <c r="A122" s="27">
        <v>121</v>
      </c>
      <c r="B122" s="27">
        <f t="shared" si="20"/>
        <v>7</v>
      </c>
      <c r="C122" s="55">
        <f t="shared" si="21"/>
        <v>45116</v>
      </c>
      <c r="D122" s="29">
        <v>36.260000000000005</v>
      </c>
      <c r="E122" s="29">
        <v>26.8</v>
      </c>
      <c r="F122" s="29">
        <v>46.2</v>
      </c>
      <c r="G122" s="29">
        <v>9.0500000000000007</v>
      </c>
      <c r="H122" s="29">
        <v>163</v>
      </c>
      <c r="I122" s="29">
        <f t="shared" si="15"/>
        <v>36.260000000000005</v>
      </c>
      <c r="J122" s="29">
        <f t="shared" si="16"/>
        <v>26.8</v>
      </c>
      <c r="K122" s="29">
        <f t="shared" si="17"/>
        <v>46.2</v>
      </c>
      <c r="L122" s="29">
        <f t="shared" si="18"/>
        <v>9.0500000000000007</v>
      </c>
      <c r="M122" s="29">
        <f t="shared" si="19"/>
        <v>163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 x14ac:dyDescent="0.5">
      <c r="A123" s="27">
        <v>122</v>
      </c>
      <c r="B123" s="27">
        <f t="shared" si="20"/>
        <v>1</v>
      </c>
      <c r="C123" s="55">
        <f t="shared" si="21"/>
        <v>45117</v>
      </c>
      <c r="D123" s="29">
        <v>7.76</v>
      </c>
      <c r="E123" s="29">
        <v>21.7</v>
      </c>
      <c r="F123" s="29">
        <v>50.4</v>
      </c>
      <c r="G123" s="29">
        <v>12.57</v>
      </c>
      <c r="H123" s="29">
        <v>81</v>
      </c>
      <c r="I123" s="29">
        <f t="shared" si="15"/>
        <v>7.76</v>
      </c>
      <c r="J123" s="29">
        <f t="shared" si="16"/>
        <v>21.7</v>
      </c>
      <c r="K123" s="29">
        <f t="shared" si="17"/>
        <v>50.4</v>
      </c>
      <c r="L123" s="29">
        <f t="shared" si="18"/>
        <v>12.57</v>
      </c>
      <c r="M123" s="29">
        <f t="shared" si="19"/>
        <v>81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 x14ac:dyDescent="0.5">
      <c r="A124" s="27">
        <v>123</v>
      </c>
      <c r="B124" s="27">
        <f t="shared" si="20"/>
        <v>2</v>
      </c>
      <c r="C124" s="55">
        <f t="shared" si="21"/>
        <v>45118</v>
      </c>
      <c r="D124" s="29">
        <v>45.8</v>
      </c>
      <c r="E124" s="29">
        <v>2.4</v>
      </c>
      <c r="F124" s="29">
        <v>15.6</v>
      </c>
      <c r="G124" s="29">
        <v>17.36</v>
      </c>
      <c r="H124" s="29">
        <v>125</v>
      </c>
      <c r="I124" s="29">
        <f t="shared" si="15"/>
        <v>45.8</v>
      </c>
      <c r="J124" s="29">
        <f t="shared" si="16"/>
        <v>2.4</v>
      </c>
      <c r="K124" s="29">
        <f t="shared" si="17"/>
        <v>15.6</v>
      </c>
      <c r="L124" s="29">
        <f t="shared" si="18"/>
        <v>17.36</v>
      </c>
      <c r="M124" s="29">
        <f t="shared" si="19"/>
        <v>125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 x14ac:dyDescent="0.5">
      <c r="A125" s="27">
        <v>124</v>
      </c>
      <c r="B125" s="27">
        <f t="shared" si="20"/>
        <v>3</v>
      </c>
      <c r="C125" s="55">
        <f t="shared" si="21"/>
        <v>45119</v>
      </c>
      <c r="D125" s="29">
        <v>33.619999999999997</v>
      </c>
      <c r="E125" s="29">
        <v>34.6</v>
      </c>
      <c r="F125" s="29">
        <v>12.4</v>
      </c>
      <c r="G125" s="29">
        <v>24.65</v>
      </c>
      <c r="H125" s="29">
        <v>171</v>
      </c>
      <c r="I125" s="29">
        <f t="shared" si="15"/>
        <v>33.619999999999997</v>
      </c>
      <c r="J125" s="29">
        <f t="shared" si="16"/>
        <v>34.6</v>
      </c>
      <c r="K125" s="29">
        <f t="shared" si="17"/>
        <v>12.4</v>
      </c>
      <c r="L125" s="29">
        <f t="shared" si="18"/>
        <v>24.65</v>
      </c>
      <c r="M125" s="29">
        <f t="shared" si="19"/>
        <v>171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 x14ac:dyDescent="0.5">
      <c r="A126" s="27">
        <v>125</v>
      </c>
      <c r="B126" s="27">
        <f t="shared" si="20"/>
        <v>4</v>
      </c>
      <c r="C126" s="55">
        <f t="shared" si="21"/>
        <v>45120</v>
      </c>
      <c r="D126" s="29">
        <v>51.9</v>
      </c>
      <c r="E126" s="29">
        <v>32.299999999999997</v>
      </c>
      <c r="F126" s="29">
        <v>74.2</v>
      </c>
      <c r="G126" s="29">
        <v>9.419999999999991</v>
      </c>
      <c r="H126" s="29">
        <v>201</v>
      </c>
      <c r="I126" s="29">
        <f t="shared" si="15"/>
        <v>51.9</v>
      </c>
      <c r="J126" s="29">
        <f t="shared" si="16"/>
        <v>32.299999999999997</v>
      </c>
      <c r="K126" s="29">
        <f t="shared" si="17"/>
        <v>74.2</v>
      </c>
      <c r="L126" s="29">
        <f t="shared" si="18"/>
        <v>9.419999999999991</v>
      </c>
      <c r="M126" s="29">
        <f t="shared" si="19"/>
        <v>201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 x14ac:dyDescent="0.5">
      <c r="A127" s="27">
        <v>126</v>
      </c>
      <c r="B127" s="27">
        <f t="shared" si="20"/>
        <v>5</v>
      </c>
      <c r="C127" s="55">
        <f t="shared" si="21"/>
        <v>45121</v>
      </c>
      <c r="D127" s="29">
        <v>18.440000000000001</v>
      </c>
      <c r="E127" s="29">
        <v>11.8</v>
      </c>
      <c r="F127" s="29">
        <v>25.9</v>
      </c>
      <c r="G127" s="29">
        <v>4.2600000000000016</v>
      </c>
      <c r="H127" s="29">
        <v>126</v>
      </c>
      <c r="I127" s="29">
        <f t="shared" si="15"/>
        <v>18.440000000000001</v>
      </c>
      <c r="J127" s="29">
        <f t="shared" si="16"/>
        <v>11.8</v>
      </c>
      <c r="K127" s="29">
        <f t="shared" si="17"/>
        <v>25.9</v>
      </c>
      <c r="L127" s="29">
        <f t="shared" si="18"/>
        <v>4.2600000000000016</v>
      </c>
      <c r="M127" s="29">
        <f t="shared" si="19"/>
        <v>126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 x14ac:dyDescent="0.5">
      <c r="A128" s="27">
        <v>127</v>
      </c>
      <c r="B128" s="27">
        <f t="shared" si="20"/>
        <v>6</v>
      </c>
      <c r="C128" s="55">
        <f t="shared" si="21"/>
        <v>45122</v>
      </c>
      <c r="D128" s="29">
        <v>8.56</v>
      </c>
      <c r="E128" s="29">
        <v>38.9</v>
      </c>
      <c r="F128" s="29">
        <v>50.6</v>
      </c>
      <c r="G128" s="29">
        <v>19.989999999999998</v>
      </c>
      <c r="H128" s="29">
        <v>78</v>
      </c>
      <c r="I128" s="29">
        <f t="shared" si="15"/>
        <v>8.56</v>
      </c>
      <c r="J128" s="29">
        <f t="shared" si="16"/>
        <v>38.9</v>
      </c>
      <c r="K128" s="29">
        <f t="shared" si="17"/>
        <v>50.6</v>
      </c>
      <c r="L128" s="29">
        <f t="shared" si="18"/>
        <v>19.989999999999998</v>
      </c>
      <c r="M128" s="29">
        <f t="shared" si="19"/>
        <v>78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 x14ac:dyDescent="0.5">
      <c r="A129" s="27">
        <v>128</v>
      </c>
      <c r="B129" s="27">
        <f t="shared" si="20"/>
        <v>7</v>
      </c>
      <c r="C129" s="55">
        <f t="shared" si="21"/>
        <v>45123</v>
      </c>
      <c r="D129" s="29">
        <v>71.06</v>
      </c>
      <c r="E129" s="29">
        <v>23.450000000000003</v>
      </c>
      <c r="F129" s="29">
        <v>9.1999999999999993</v>
      </c>
      <c r="G129" s="29">
        <v>31.35</v>
      </c>
      <c r="H129" s="29">
        <v>92</v>
      </c>
      <c r="I129" s="29">
        <f t="shared" si="15"/>
        <v>71.06</v>
      </c>
      <c r="J129" s="29">
        <f t="shared" si="16"/>
        <v>23.450000000000003</v>
      </c>
      <c r="K129" s="29">
        <f t="shared" si="17"/>
        <v>9.1999999999999993</v>
      </c>
      <c r="L129" s="29">
        <f t="shared" si="18"/>
        <v>31.35</v>
      </c>
      <c r="M129" s="29">
        <f t="shared" si="19"/>
        <v>92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 x14ac:dyDescent="0.5">
      <c r="A130" s="27">
        <v>129</v>
      </c>
      <c r="B130" s="27">
        <f t="shared" ref="B130:B161" si="22">WEEKDAY(C130,2)</f>
        <v>1</v>
      </c>
      <c r="C130" s="55">
        <f t="shared" ref="C130:C161" si="23">+C131-1</f>
        <v>45124</v>
      </c>
      <c r="D130" s="29">
        <v>54.06</v>
      </c>
      <c r="E130" s="29">
        <v>49</v>
      </c>
      <c r="F130" s="29">
        <v>3.2</v>
      </c>
      <c r="G130" s="29">
        <v>45.25</v>
      </c>
      <c r="H130" s="29">
        <v>264</v>
      </c>
      <c r="I130" s="29">
        <f t="shared" si="15"/>
        <v>54.06</v>
      </c>
      <c r="J130" s="29">
        <f t="shared" si="16"/>
        <v>49</v>
      </c>
      <c r="K130" s="29">
        <f t="shared" si="17"/>
        <v>3.2</v>
      </c>
      <c r="L130" s="29">
        <f t="shared" si="18"/>
        <v>41.756249999999994</v>
      </c>
      <c r="M130" s="29">
        <f t="shared" si="19"/>
        <v>264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 x14ac:dyDescent="0.5">
      <c r="A131" s="27">
        <v>130</v>
      </c>
      <c r="B131" s="27">
        <f t="shared" si="22"/>
        <v>2</v>
      </c>
      <c r="C131" s="55">
        <f t="shared" si="23"/>
        <v>45125</v>
      </c>
      <c r="D131" s="29">
        <v>18.920000000000002</v>
      </c>
      <c r="E131" s="29">
        <v>12</v>
      </c>
      <c r="F131" s="29">
        <v>43.1</v>
      </c>
      <c r="G131" s="29">
        <v>14.719999999999999</v>
      </c>
      <c r="H131" s="29">
        <v>116</v>
      </c>
      <c r="I131" s="29">
        <f t="shared" ref="I131:I194" si="24">IF(D131&gt;T$4,T$4,D131)</f>
        <v>18.920000000000002</v>
      </c>
      <c r="J131" s="29">
        <f t="shared" ref="J131:J194" si="25">IF(E131&gt;T$5,T$5,E131)</f>
        <v>12</v>
      </c>
      <c r="K131" s="29">
        <f t="shared" ref="K131:K194" si="26">IF(F131&gt;T$6,T$6,F131)</f>
        <v>43.1</v>
      </c>
      <c r="L131" s="29">
        <f t="shared" ref="L131:L194" si="27">IF(G131&gt;T$7,T$7,G131)</f>
        <v>14.719999999999999</v>
      </c>
      <c r="M131" s="29">
        <f t="shared" ref="M131:M194" si="28">IF(H131&gt;T$8,T$8,H131)</f>
        <v>116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 x14ac:dyDescent="0.5">
      <c r="A132" s="27">
        <v>131</v>
      </c>
      <c r="B132" s="27">
        <f t="shared" si="22"/>
        <v>3</v>
      </c>
      <c r="C132" s="55">
        <f t="shared" si="23"/>
        <v>45126</v>
      </c>
      <c r="D132" s="29">
        <v>6</v>
      </c>
      <c r="E132" s="29">
        <v>39.6</v>
      </c>
      <c r="F132" s="29">
        <v>8.6999999999999993</v>
      </c>
      <c r="G132" s="29">
        <v>111</v>
      </c>
      <c r="H132" s="29">
        <v>28</v>
      </c>
      <c r="I132" s="29">
        <f t="shared" si="24"/>
        <v>6</v>
      </c>
      <c r="J132" s="29">
        <f t="shared" si="25"/>
        <v>39.6</v>
      </c>
      <c r="K132" s="29">
        <f t="shared" si="26"/>
        <v>8.6999999999999993</v>
      </c>
      <c r="L132" s="29">
        <f t="shared" si="27"/>
        <v>41.756249999999994</v>
      </c>
      <c r="M132" s="29">
        <f t="shared" si="28"/>
        <v>28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 x14ac:dyDescent="0.5">
      <c r="A133" s="27">
        <v>132</v>
      </c>
      <c r="B133" s="27">
        <f t="shared" si="22"/>
        <v>4</v>
      </c>
      <c r="C133" s="55">
        <f t="shared" si="23"/>
        <v>45127</v>
      </c>
      <c r="D133" s="29">
        <v>55.04</v>
      </c>
      <c r="E133" s="29">
        <v>2.9</v>
      </c>
      <c r="F133" s="29">
        <v>43</v>
      </c>
      <c r="G133" s="29">
        <v>10.77</v>
      </c>
      <c r="H133" s="29">
        <v>147</v>
      </c>
      <c r="I133" s="29">
        <f t="shared" si="24"/>
        <v>55.04</v>
      </c>
      <c r="J133" s="29">
        <f t="shared" si="25"/>
        <v>2.9</v>
      </c>
      <c r="K133" s="29">
        <f t="shared" si="26"/>
        <v>43</v>
      </c>
      <c r="L133" s="29">
        <f t="shared" si="27"/>
        <v>10.77</v>
      </c>
      <c r="M133" s="29">
        <f t="shared" si="28"/>
        <v>147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 x14ac:dyDescent="0.5">
      <c r="A134" s="27">
        <v>133</v>
      </c>
      <c r="B134" s="27">
        <f t="shared" si="22"/>
        <v>5</v>
      </c>
      <c r="C134" s="55">
        <f t="shared" si="23"/>
        <v>45128</v>
      </c>
      <c r="D134" s="29">
        <v>5.68</v>
      </c>
      <c r="E134" s="29">
        <v>27.2</v>
      </c>
      <c r="F134" s="29">
        <v>2.1</v>
      </c>
      <c r="G134" s="29">
        <v>13.6</v>
      </c>
      <c r="H134" s="29">
        <v>71</v>
      </c>
      <c r="I134" s="29">
        <f t="shared" si="24"/>
        <v>5.68</v>
      </c>
      <c r="J134" s="29">
        <f t="shared" si="25"/>
        <v>27.2</v>
      </c>
      <c r="K134" s="29">
        <f t="shared" si="26"/>
        <v>2.1</v>
      </c>
      <c r="L134" s="29">
        <f t="shared" si="27"/>
        <v>13.6</v>
      </c>
      <c r="M134" s="29">
        <f t="shared" si="28"/>
        <v>71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 x14ac:dyDescent="0.5">
      <c r="A135" s="27">
        <v>134</v>
      </c>
      <c r="B135" s="27">
        <f t="shared" si="22"/>
        <v>6</v>
      </c>
      <c r="C135" s="55">
        <f t="shared" si="23"/>
        <v>45129</v>
      </c>
      <c r="D135" s="29">
        <v>45.96</v>
      </c>
      <c r="E135" s="29">
        <v>33.5</v>
      </c>
      <c r="F135" s="29">
        <v>45.1</v>
      </c>
      <c r="G135" s="29">
        <v>20.69</v>
      </c>
      <c r="H135" s="29">
        <v>164.45535714285714</v>
      </c>
      <c r="I135" s="29">
        <f t="shared" si="24"/>
        <v>45.96</v>
      </c>
      <c r="J135" s="29">
        <f t="shared" si="25"/>
        <v>33.5</v>
      </c>
      <c r="K135" s="29">
        <f t="shared" si="26"/>
        <v>45.1</v>
      </c>
      <c r="L135" s="29">
        <f t="shared" si="27"/>
        <v>20.69</v>
      </c>
      <c r="M135" s="29">
        <f t="shared" si="28"/>
        <v>164.45535714285714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 x14ac:dyDescent="0.5">
      <c r="A136" s="27">
        <v>135</v>
      </c>
      <c r="B136" s="27">
        <f t="shared" si="22"/>
        <v>7</v>
      </c>
      <c r="C136" s="55">
        <f t="shared" si="23"/>
        <v>45130</v>
      </c>
      <c r="D136" s="29">
        <v>14.379999999999999</v>
      </c>
      <c r="E136" s="29">
        <v>38.6</v>
      </c>
      <c r="F136" s="29">
        <v>65.599999999999994</v>
      </c>
      <c r="G136" s="29">
        <v>16.750000000000004</v>
      </c>
      <c r="H136" s="29">
        <v>124</v>
      </c>
      <c r="I136" s="29">
        <f t="shared" si="24"/>
        <v>14.379999999999999</v>
      </c>
      <c r="J136" s="29">
        <f t="shared" si="25"/>
        <v>38.6</v>
      </c>
      <c r="K136" s="29">
        <f t="shared" si="26"/>
        <v>65.599999999999994</v>
      </c>
      <c r="L136" s="29">
        <f t="shared" si="27"/>
        <v>16.750000000000004</v>
      </c>
      <c r="M136" s="29">
        <f t="shared" si="28"/>
        <v>124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 x14ac:dyDescent="0.5">
      <c r="A137" s="27">
        <v>136</v>
      </c>
      <c r="B137" s="27">
        <f t="shared" si="22"/>
        <v>1</v>
      </c>
      <c r="C137" s="55">
        <f t="shared" si="23"/>
        <v>45131</v>
      </c>
      <c r="D137" s="29">
        <v>14.66</v>
      </c>
      <c r="E137" s="29">
        <v>47</v>
      </c>
      <c r="F137" s="29">
        <v>8.5</v>
      </c>
      <c r="G137" s="29">
        <v>24.93</v>
      </c>
      <c r="H137" s="29">
        <v>124</v>
      </c>
      <c r="I137" s="29">
        <f t="shared" si="24"/>
        <v>14.66</v>
      </c>
      <c r="J137" s="29">
        <f t="shared" si="25"/>
        <v>47</v>
      </c>
      <c r="K137" s="29">
        <f t="shared" si="26"/>
        <v>8.5</v>
      </c>
      <c r="L137" s="29">
        <f t="shared" si="27"/>
        <v>24.93</v>
      </c>
      <c r="M137" s="29">
        <f t="shared" si="28"/>
        <v>124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 x14ac:dyDescent="0.5">
      <c r="A138" s="27">
        <v>137</v>
      </c>
      <c r="B138" s="27">
        <f t="shared" si="22"/>
        <v>2</v>
      </c>
      <c r="C138" s="55">
        <f t="shared" si="23"/>
        <v>45132</v>
      </c>
      <c r="D138" s="29">
        <v>10.120000000000001</v>
      </c>
      <c r="E138" s="29">
        <v>39</v>
      </c>
      <c r="F138" s="29">
        <v>9.3000000000000007</v>
      </c>
      <c r="G138" s="29">
        <v>18.339999999999996</v>
      </c>
      <c r="H138" s="29">
        <v>98</v>
      </c>
      <c r="I138" s="29">
        <f t="shared" si="24"/>
        <v>10.120000000000001</v>
      </c>
      <c r="J138" s="29">
        <f t="shared" si="25"/>
        <v>39</v>
      </c>
      <c r="K138" s="29">
        <f t="shared" si="26"/>
        <v>9.3000000000000007</v>
      </c>
      <c r="L138" s="29">
        <f t="shared" si="27"/>
        <v>18.339999999999996</v>
      </c>
      <c r="M138" s="29">
        <f t="shared" si="28"/>
        <v>98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 x14ac:dyDescent="0.5">
      <c r="A139" s="27">
        <v>138</v>
      </c>
      <c r="B139" s="27">
        <f t="shared" si="22"/>
        <v>3</v>
      </c>
      <c r="C139" s="55">
        <f t="shared" si="23"/>
        <v>45133</v>
      </c>
      <c r="D139" s="29">
        <v>58.739999999999995</v>
      </c>
      <c r="E139" s="29">
        <v>28.9</v>
      </c>
      <c r="F139" s="29">
        <v>59.7</v>
      </c>
      <c r="G139" s="29">
        <v>17.939999999999991</v>
      </c>
      <c r="H139" s="29">
        <v>210</v>
      </c>
      <c r="I139" s="29">
        <f t="shared" si="24"/>
        <v>58.739999999999995</v>
      </c>
      <c r="J139" s="29">
        <f t="shared" si="25"/>
        <v>28.9</v>
      </c>
      <c r="K139" s="29">
        <f t="shared" si="26"/>
        <v>59.7</v>
      </c>
      <c r="L139" s="29">
        <f t="shared" si="27"/>
        <v>17.939999999999991</v>
      </c>
      <c r="M139" s="29">
        <f t="shared" si="28"/>
        <v>210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 x14ac:dyDescent="0.5">
      <c r="A140" s="27">
        <v>139</v>
      </c>
      <c r="B140" s="27">
        <f t="shared" si="22"/>
        <v>4</v>
      </c>
      <c r="C140" s="55">
        <f t="shared" si="23"/>
        <v>45134</v>
      </c>
      <c r="D140" s="29">
        <v>9.6</v>
      </c>
      <c r="E140" s="29">
        <v>25.9</v>
      </c>
      <c r="F140" s="29">
        <v>20.5</v>
      </c>
      <c r="G140" s="29">
        <v>9.0499999999999989</v>
      </c>
      <c r="H140" s="29">
        <v>109</v>
      </c>
      <c r="I140" s="29">
        <f t="shared" si="24"/>
        <v>9.6</v>
      </c>
      <c r="J140" s="29">
        <f t="shared" si="25"/>
        <v>25.9</v>
      </c>
      <c r="K140" s="29">
        <f t="shared" si="26"/>
        <v>20.5</v>
      </c>
      <c r="L140" s="29">
        <f t="shared" si="27"/>
        <v>9.0499999999999989</v>
      </c>
      <c r="M140" s="29">
        <f t="shared" si="28"/>
        <v>109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 x14ac:dyDescent="0.5">
      <c r="A141" s="27">
        <v>140</v>
      </c>
      <c r="B141" s="27">
        <f t="shared" si="22"/>
        <v>5</v>
      </c>
      <c r="C141" s="55">
        <f t="shared" si="23"/>
        <v>45135</v>
      </c>
      <c r="D141" s="29">
        <v>196.98</v>
      </c>
      <c r="E141" s="29">
        <v>43.9</v>
      </c>
      <c r="F141" s="29">
        <v>1.7</v>
      </c>
      <c r="G141" s="29">
        <v>39.76</v>
      </c>
      <c r="H141" s="29">
        <v>227</v>
      </c>
      <c r="I141" s="29">
        <f t="shared" si="24"/>
        <v>96.179999999999993</v>
      </c>
      <c r="J141" s="29">
        <f t="shared" si="25"/>
        <v>43.9</v>
      </c>
      <c r="K141" s="29">
        <f t="shared" si="26"/>
        <v>1.7</v>
      </c>
      <c r="L141" s="29">
        <f t="shared" si="27"/>
        <v>39.76</v>
      </c>
      <c r="M141" s="29">
        <f t="shared" si="28"/>
        <v>227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 x14ac:dyDescent="0.5">
      <c r="A142" s="27">
        <v>141</v>
      </c>
      <c r="B142" s="27">
        <f t="shared" si="22"/>
        <v>6</v>
      </c>
      <c r="C142" s="55">
        <f t="shared" si="23"/>
        <v>45136</v>
      </c>
      <c r="D142" s="29">
        <v>20.910000000000004</v>
      </c>
      <c r="E142" s="29">
        <v>17</v>
      </c>
      <c r="F142" s="29">
        <v>12.9</v>
      </c>
      <c r="G142" s="29">
        <v>10.68</v>
      </c>
      <c r="H142" s="29">
        <v>113</v>
      </c>
      <c r="I142" s="29">
        <f t="shared" si="24"/>
        <v>20.910000000000004</v>
      </c>
      <c r="J142" s="29">
        <f t="shared" si="25"/>
        <v>17</v>
      </c>
      <c r="K142" s="29">
        <f t="shared" si="26"/>
        <v>12.9</v>
      </c>
      <c r="L142" s="29">
        <f t="shared" si="27"/>
        <v>10.68</v>
      </c>
      <c r="M142" s="29">
        <f t="shared" si="28"/>
        <v>113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 x14ac:dyDescent="0.5">
      <c r="A143" s="27">
        <v>142</v>
      </c>
      <c r="B143" s="27">
        <f t="shared" si="22"/>
        <v>7</v>
      </c>
      <c r="C143" s="55">
        <f t="shared" si="23"/>
        <v>45137</v>
      </c>
      <c r="D143" s="29">
        <v>49.443333333333328</v>
      </c>
      <c r="E143" s="29">
        <v>35.4</v>
      </c>
      <c r="F143" s="29">
        <v>75.599999999999994</v>
      </c>
      <c r="G143" s="29">
        <v>6.8299999999999947</v>
      </c>
      <c r="H143" s="29">
        <v>207</v>
      </c>
      <c r="I143" s="29">
        <f t="shared" si="24"/>
        <v>49.443333333333328</v>
      </c>
      <c r="J143" s="29">
        <f t="shared" si="25"/>
        <v>35.4</v>
      </c>
      <c r="K143" s="29">
        <f t="shared" si="26"/>
        <v>75.599999999999994</v>
      </c>
      <c r="L143" s="29">
        <f t="shared" si="27"/>
        <v>6.8299999999999947</v>
      </c>
      <c r="M143" s="29">
        <f t="shared" si="28"/>
        <v>207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 x14ac:dyDescent="0.5">
      <c r="A144" s="27">
        <v>143</v>
      </c>
      <c r="B144" s="27">
        <f t="shared" si="22"/>
        <v>1</v>
      </c>
      <c r="C144" s="55">
        <f t="shared" si="23"/>
        <v>45138</v>
      </c>
      <c r="D144" s="29">
        <v>50.1</v>
      </c>
      <c r="E144" s="29">
        <v>33.200000000000003</v>
      </c>
      <c r="F144" s="29">
        <v>37.9</v>
      </c>
      <c r="G144" s="29">
        <v>23.490000000000006</v>
      </c>
      <c r="H144" s="29">
        <v>218</v>
      </c>
      <c r="I144" s="29">
        <f t="shared" si="24"/>
        <v>50.1</v>
      </c>
      <c r="J144" s="29">
        <f t="shared" si="25"/>
        <v>33.200000000000003</v>
      </c>
      <c r="K144" s="29">
        <f t="shared" si="26"/>
        <v>37.9</v>
      </c>
      <c r="L144" s="29">
        <f t="shared" si="27"/>
        <v>23.490000000000006</v>
      </c>
      <c r="M144" s="29">
        <f t="shared" si="28"/>
        <v>218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 x14ac:dyDescent="0.5">
      <c r="A145" s="27">
        <v>144</v>
      </c>
      <c r="B145" s="27">
        <f t="shared" si="22"/>
        <v>2</v>
      </c>
      <c r="C145" s="55">
        <f t="shared" si="23"/>
        <v>45139</v>
      </c>
      <c r="D145" s="29">
        <v>28.919999999999998</v>
      </c>
      <c r="E145" s="29">
        <v>5.7</v>
      </c>
      <c r="F145" s="29">
        <v>34.4</v>
      </c>
      <c r="G145" s="29">
        <v>19.549999999999997</v>
      </c>
      <c r="H145" s="29">
        <v>144.14285714285714</v>
      </c>
      <c r="I145" s="29">
        <f t="shared" si="24"/>
        <v>28.919999999999998</v>
      </c>
      <c r="J145" s="29">
        <f t="shared" si="25"/>
        <v>5.7</v>
      </c>
      <c r="K145" s="29">
        <f t="shared" si="26"/>
        <v>34.4</v>
      </c>
      <c r="L145" s="29">
        <f t="shared" si="27"/>
        <v>19.549999999999997</v>
      </c>
      <c r="M145" s="29">
        <f t="shared" si="28"/>
        <v>144.14285714285714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 x14ac:dyDescent="0.5">
      <c r="A146" s="27">
        <v>145</v>
      </c>
      <c r="B146" s="27">
        <f t="shared" si="22"/>
        <v>3</v>
      </c>
      <c r="C146" s="55">
        <f t="shared" si="23"/>
        <v>45140</v>
      </c>
      <c r="D146" s="29">
        <v>29.240000000000002</v>
      </c>
      <c r="E146" s="29">
        <v>14.8</v>
      </c>
      <c r="F146" s="29">
        <v>38.9</v>
      </c>
      <c r="G146" s="29">
        <v>1.4600000000000026</v>
      </c>
      <c r="H146" s="29">
        <v>127</v>
      </c>
      <c r="I146" s="29">
        <f t="shared" si="24"/>
        <v>29.240000000000002</v>
      </c>
      <c r="J146" s="29">
        <f t="shared" si="25"/>
        <v>14.8</v>
      </c>
      <c r="K146" s="29">
        <f t="shared" si="26"/>
        <v>38.9</v>
      </c>
      <c r="L146" s="29">
        <f t="shared" si="27"/>
        <v>1.4600000000000026</v>
      </c>
      <c r="M146" s="29">
        <f t="shared" si="28"/>
        <v>127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 x14ac:dyDescent="0.5">
      <c r="A147" s="27">
        <v>146</v>
      </c>
      <c r="B147" s="27">
        <f t="shared" si="22"/>
        <v>4</v>
      </c>
      <c r="C147" s="55">
        <f t="shared" si="23"/>
        <v>45141</v>
      </c>
      <c r="D147" s="29">
        <v>31.060000000000002</v>
      </c>
      <c r="E147" s="29">
        <v>1.9</v>
      </c>
      <c r="F147" s="29">
        <v>9</v>
      </c>
      <c r="G147" s="29">
        <v>11.38</v>
      </c>
      <c r="H147" s="29">
        <v>123</v>
      </c>
      <c r="I147" s="29">
        <f t="shared" si="24"/>
        <v>31.060000000000002</v>
      </c>
      <c r="J147" s="29">
        <f t="shared" si="25"/>
        <v>1.9</v>
      </c>
      <c r="K147" s="29">
        <f t="shared" si="26"/>
        <v>9</v>
      </c>
      <c r="L147" s="29">
        <f t="shared" si="27"/>
        <v>11.38</v>
      </c>
      <c r="M147" s="29">
        <f t="shared" si="28"/>
        <v>123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 x14ac:dyDescent="0.5">
      <c r="A148" s="27">
        <v>147</v>
      </c>
      <c r="B148" s="27">
        <f t="shared" si="22"/>
        <v>5</v>
      </c>
      <c r="C148" s="55">
        <f t="shared" si="23"/>
        <v>45142</v>
      </c>
      <c r="D148" s="29">
        <v>55.019999999999996</v>
      </c>
      <c r="E148" s="29">
        <v>7.3</v>
      </c>
      <c r="F148" s="29">
        <v>8.6999999999999993</v>
      </c>
      <c r="G148" s="29">
        <v>24.179999999999996</v>
      </c>
      <c r="H148" s="29">
        <v>142</v>
      </c>
      <c r="I148" s="29">
        <f t="shared" si="24"/>
        <v>55.019999999999996</v>
      </c>
      <c r="J148" s="29">
        <f t="shared" si="25"/>
        <v>7.3</v>
      </c>
      <c r="K148" s="29">
        <f t="shared" si="26"/>
        <v>8.6999999999999993</v>
      </c>
      <c r="L148" s="29">
        <f t="shared" si="27"/>
        <v>24.179999999999996</v>
      </c>
      <c r="M148" s="29">
        <f t="shared" si="28"/>
        <v>142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 x14ac:dyDescent="0.5">
      <c r="A149" s="27">
        <v>148</v>
      </c>
      <c r="B149" s="27">
        <f t="shared" si="22"/>
        <v>6</v>
      </c>
      <c r="C149" s="55">
        <f t="shared" si="23"/>
        <v>45143</v>
      </c>
      <c r="D149" s="29">
        <v>50.64</v>
      </c>
      <c r="E149" s="29">
        <v>49</v>
      </c>
      <c r="F149" s="29">
        <v>44.3</v>
      </c>
      <c r="G149" s="29">
        <v>31.1</v>
      </c>
      <c r="H149" s="29">
        <v>265</v>
      </c>
      <c r="I149" s="29">
        <f t="shared" si="24"/>
        <v>50.64</v>
      </c>
      <c r="J149" s="29">
        <f t="shared" si="25"/>
        <v>49</v>
      </c>
      <c r="K149" s="29">
        <f t="shared" si="26"/>
        <v>44.3</v>
      </c>
      <c r="L149" s="29">
        <f t="shared" si="27"/>
        <v>31.1</v>
      </c>
      <c r="M149" s="29">
        <f t="shared" si="28"/>
        <v>265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 x14ac:dyDescent="0.5">
      <c r="A150" s="27">
        <v>149</v>
      </c>
      <c r="B150" s="27">
        <f t="shared" si="22"/>
        <v>7</v>
      </c>
      <c r="C150" s="55">
        <f t="shared" si="23"/>
        <v>45144</v>
      </c>
      <c r="D150" s="29">
        <v>15.6</v>
      </c>
      <c r="E150" s="29">
        <v>40.299999999999997</v>
      </c>
      <c r="F150" s="29">
        <v>11.9</v>
      </c>
      <c r="G150" s="29">
        <v>19.189999999999998</v>
      </c>
      <c r="H150" s="29">
        <v>110</v>
      </c>
      <c r="I150" s="29">
        <f t="shared" si="24"/>
        <v>15.6</v>
      </c>
      <c r="J150" s="29">
        <f t="shared" si="25"/>
        <v>40.299999999999997</v>
      </c>
      <c r="K150" s="29">
        <f t="shared" si="26"/>
        <v>11.9</v>
      </c>
      <c r="L150" s="29">
        <f t="shared" si="27"/>
        <v>19.189999999999998</v>
      </c>
      <c r="M150" s="29">
        <f t="shared" si="28"/>
        <v>110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 x14ac:dyDescent="0.5">
      <c r="A151" s="27">
        <v>150</v>
      </c>
      <c r="B151" s="27">
        <f t="shared" si="22"/>
        <v>1</v>
      </c>
      <c r="C151" s="55">
        <f t="shared" si="23"/>
        <v>45145</v>
      </c>
      <c r="D151" s="29">
        <v>164</v>
      </c>
      <c r="E151" s="29">
        <v>25.8</v>
      </c>
      <c r="F151" s="29">
        <v>20.6</v>
      </c>
      <c r="G151" s="29">
        <v>9.1300000000000008</v>
      </c>
      <c r="H151" s="29">
        <v>118</v>
      </c>
      <c r="I151" s="29">
        <f t="shared" si="24"/>
        <v>96.179999999999993</v>
      </c>
      <c r="J151" s="29">
        <f t="shared" si="25"/>
        <v>25.8</v>
      </c>
      <c r="K151" s="29">
        <f t="shared" si="26"/>
        <v>20.6</v>
      </c>
      <c r="L151" s="29">
        <f t="shared" si="27"/>
        <v>9.1300000000000008</v>
      </c>
      <c r="M151" s="29">
        <f t="shared" si="28"/>
        <v>118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 x14ac:dyDescent="0.5">
      <c r="A152" s="27">
        <v>151</v>
      </c>
      <c r="B152" s="27">
        <f t="shared" si="22"/>
        <v>2</v>
      </c>
      <c r="C152" s="55">
        <f t="shared" si="23"/>
        <v>45146</v>
      </c>
      <c r="D152" s="29">
        <v>66.14</v>
      </c>
      <c r="E152" s="29">
        <v>13.9</v>
      </c>
      <c r="F152" s="29">
        <v>37</v>
      </c>
      <c r="G152" s="29">
        <v>20.220000000000002</v>
      </c>
      <c r="H152" s="29">
        <v>166</v>
      </c>
      <c r="I152" s="29">
        <f t="shared" si="24"/>
        <v>66.14</v>
      </c>
      <c r="J152" s="29">
        <f t="shared" si="25"/>
        <v>13.9</v>
      </c>
      <c r="K152" s="29">
        <f t="shared" si="26"/>
        <v>37</v>
      </c>
      <c r="L152" s="29">
        <f t="shared" si="27"/>
        <v>20.220000000000002</v>
      </c>
      <c r="M152" s="29">
        <f t="shared" si="28"/>
        <v>166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 x14ac:dyDescent="0.5">
      <c r="A153" s="27">
        <v>152</v>
      </c>
      <c r="B153" s="27">
        <f t="shared" si="22"/>
        <v>3</v>
      </c>
      <c r="C153" s="55">
        <f t="shared" si="23"/>
        <v>45147</v>
      </c>
      <c r="D153" s="29">
        <v>31.2</v>
      </c>
      <c r="E153" s="29">
        <v>8.4</v>
      </c>
      <c r="F153" s="29">
        <v>48.7</v>
      </c>
      <c r="G153" s="29">
        <v>16.819999999999997</v>
      </c>
      <c r="H153" s="29">
        <v>125</v>
      </c>
      <c r="I153" s="29">
        <f t="shared" si="24"/>
        <v>31.2</v>
      </c>
      <c r="J153" s="29">
        <f t="shared" si="25"/>
        <v>8.4</v>
      </c>
      <c r="K153" s="29">
        <f t="shared" si="26"/>
        <v>48.7</v>
      </c>
      <c r="L153" s="29">
        <f t="shared" si="27"/>
        <v>16.819999999999997</v>
      </c>
      <c r="M153" s="29">
        <f t="shared" si="28"/>
        <v>125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 x14ac:dyDescent="0.5">
      <c r="A154" s="27">
        <v>153</v>
      </c>
      <c r="B154" s="27">
        <f t="shared" si="22"/>
        <v>4</v>
      </c>
      <c r="C154" s="55">
        <f t="shared" si="23"/>
        <v>45148</v>
      </c>
      <c r="D154" s="29">
        <v>40.519999999999996</v>
      </c>
      <c r="E154" s="29">
        <v>23.3</v>
      </c>
      <c r="F154" s="29">
        <v>14.2</v>
      </c>
      <c r="G154" s="29">
        <v>25.729999999999997</v>
      </c>
      <c r="H154" s="29">
        <v>169</v>
      </c>
      <c r="I154" s="29">
        <f t="shared" si="24"/>
        <v>40.519999999999996</v>
      </c>
      <c r="J154" s="29">
        <f t="shared" si="25"/>
        <v>23.3</v>
      </c>
      <c r="K154" s="29">
        <f t="shared" si="26"/>
        <v>14.2</v>
      </c>
      <c r="L154" s="29">
        <f t="shared" si="27"/>
        <v>25.729999999999997</v>
      </c>
      <c r="M154" s="29">
        <f t="shared" si="28"/>
        <v>169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 x14ac:dyDescent="0.5">
      <c r="A155" s="27">
        <v>154</v>
      </c>
      <c r="B155" s="27">
        <f t="shared" si="22"/>
        <v>5</v>
      </c>
      <c r="C155" s="55">
        <f t="shared" si="23"/>
        <v>45149</v>
      </c>
      <c r="D155" s="29">
        <v>37.260000000000005</v>
      </c>
      <c r="E155" s="29">
        <v>39.700000000000003</v>
      </c>
      <c r="F155" s="29">
        <v>37.700000000000003</v>
      </c>
      <c r="G155" s="29">
        <v>21.900000000000002</v>
      </c>
      <c r="H155" s="29">
        <v>208</v>
      </c>
      <c r="I155" s="29">
        <f t="shared" si="24"/>
        <v>37.260000000000005</v>
      </c>
      <c r="J155" s="29">
        <f t="shared" si="25"/>
        <v>39.700000000000003</v>
      </c>
      <c r="K155" s="29">
        <f t="shared" si="26"/>
        <v>37.700000000000003</v>
      </c>
      <c r="L155" s="29">
        <f t="shared" si="27"/>
        <v>21.900000000000002</v>
      </c>
      <c r="M155" s="29">
        <f t="shared" si="28"/>
        <v>208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 x14ac:dyDescent="0.5">
      <c r="A156" s="27">
        <v>155</v>
      </c>
      <c r="B156" s="27">
        <f t="shared" si="22"/>
        <v>6</v>
      </c>
      <c r="C156" s="55">
        <f t="shared" si="23"/>
        <v>45150</v>
      </c>
      <c r="D156" s="29">
        <v>43.56</v>
      </c>
      <c r="E156" s="29">
        <v>21.1</v>
      </c>
      <c r="F156" s="29">
        <v>9.5</v>
      </c>
      <c r="G156" s="29">
        <v>25.53</v>
      </c>
      <c r="H156" s="29">
        <v>166</v>
      </c>
      <c r="I156" s="29">
        <f t="shared" si="24"/>
        <v>43.56</v>
      </c>
      <c r="J156" s="29">
        <f t="shared" si="25"/>
        <v>21.1</v>
      </c>
      <c r="K156" s="29">
        <f t="shared" si="26"/>
        <v>9.5</v>
      </c>
      <c r="L156" s="29">
        <f t="shared" si="27"/>
        <v>25.53</v>
      </c>
      <c r="M156" s="29">
        <f t="shared" si="28"/>
        <v>166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 x14ac:dyDescent="0.5">
      <c r="A157" s="27">
        <v>156</v>
      </c>
      <c r="B157" s="27">
        <f t="shared" si="22"/>
        <v>7</v>
      </c>
      <c r="C157" s="55">
        <f t="shared" si="23"/>
        <v>45151</v>
      </c>
      <c r="D157" s="29">
        <v>9.82</v>
      </c>
      <c r="E157" s="29">
        <v>11.6</v>
      </c>
      <c r="F157" s="29">
        <v>5.7</v>
      </c>
      <c r="G157" s="29">
        <v>92</v>
      </c>
      <c r="H157" s="29">
        <v>35</v>
      </c>
      <c r="I157" s="29">
        <f t="shared" si="24"/>
        <v>9.82</v>
      </c>
      <c r="J157" s="29">
        <f t="shared" si="25"/>
        <v>11.6</v>
      </c>
      <c r="K157" s="29">
        <f t="shared" si="26"/>
        <v>5.7</v>
      </c>
      <c r="L157" s="29">
        <f t="shared" si="27"/>
        <v>41.756249999999994</v>
      </c>
      <c r="M157" s="29">
        <f t="shared" si="28"/>
        <v>35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 x14ac:dyDescent="0.5">
      <c r="A158" s="27">
        <v>157</v>
      </c>
      <c r="B158" s="27">
        <f t="shared" si="22"/>
        <v>1</v>
      </c>
      <c r="C158" s="55">
        <f t="shared" si="23"/>
        <v>45152</v>
      </c>
      <c r="D158" s="29">
        <v>25.78</v>
      </c>
      <c r="E158" s="29">
        <v>43.5</v>
      </c>
      <c r="F158" s="29">
        <v>50.5</v>
      </c>
      <c r="G158" s="29">
        <v>10.939999999999998</v>
      </c>
      <c r="H158" s="29">
        <v>173</v>
      </c>
      <c r="I158" s="29">
        <f t="shared" si="24"/>
        <v>25.78</v>
      </c>
      <c r="J158" s="29">
        <f t="shared" si="25"/>
        <v>43.5</v>
      </c>
      <c r="K158" s="29">
        <f t="shared" si="26"/>
        <v>50.5</v>
      </c>
      <c r="L158" s="29">
        <f t="shared" si="27"/>
        <v>10.939999999999998</v>
      </c>
      <c r="M158" s="29">
        <f t="shared" si="28"/>
        <v>173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 x14ac:dyDescent="0.5">
      <c r="A159" s="27">
        <v>158</v>
      </c>
      <c r="B159" s="27">
        <f t="shared" si="22"/>
        <v>2</v>
      </c>
      <c r="C159" s="55">
        <f t="shared" si="23"/>
        <v>45153</v>
      </c>
      <c r="D159" s="29">
        <v>39.96</v>
      </c>
      <c r="E159" s="29">
        <v>1.3</v>
      </c>
      <c r="F159" s="29">
        <v>24.3</v>
      </c>
      <c r="G159" s="29">
        <v>5.91</v>
      </c>
      <c r="H159" s="29">
        <v>111</v>
      </c>
      <c r="I159" s="29">
        <f t="shared" si="24"/>
        <v>39.96</v>
      </c>
      <c r="J159" s="29">
        <f t="shared" si="25"/>
        <v>1.3</v>
      </c>
      <c r="K159" s="29">
        <f t="shared" si="26"/>
        <v>24.3</v>
      </c>
      <c r="L159" s="29">
        <f t="shared" si="27"/>
        <v>5.91</v>
      </c>
      <c r="M159" s="29">
        <f t="shared" si="28"/>
        <v>111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 x14ac:dyDescent="0.5">
      <c r="A160" s="27">
        <v>159</v>
      </c>
      <c r="B160" s="27">
        <f t="shared" si="22"/>
        <v>3</v>
      </c>
      <c r="C160" s="55">
        <f t="shared" si="23"/>
        <v>45154</v>
      </c>
      <c r="D160" s="29">
        <v>12.34</v>
      </c>
      <c r="E160" s="29">
        <v>36.9</v>
      </c>
      <c r="F160" s="29">
        <v>45.2</v>
      </c>
      <c r="G160" s="29">
        <v>1.5399999999999956</v>
      </c>
      <c r="H160" s="29">
        <v>85</v>
      </c>
      <c r="I160" s="29">
        <f t="shared" si="24"/>
        <v>12.34</v>
      </c>
      <c r="J160" s="29">
        <f t="shared" si="25"/>
        <v>36.9</v>
      </c>
      <c r="K160" s="29">
        <f t="shared" si="26"/>
        <v>45.2</v>
      </c>
      <c r="L160" s="29">
        <f t="shared" si="27"/>
        <v>1.5399999999999956</v>
      </c>
      <c r="M160" s="29">
        <f t="shared" si="28"/>
        <v>85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 x14ac:dyDescent="0.5">
      <c r="A161" s="27">
        <v>160</v>
      </c>
      <c r="B161" s="27">
        <f t="shared" si="22"/>
        <v>4</v>
      </c>
      <c r="C161" s="55">
        <f t="shared" si="23"/>
        <v>45155</v>
      </c>
      <c r="D161" s="29">
        <v>32.339999999999996</v>
      </c>
      <c r="E161" s="29">
        <v>18.399999999999999</v>
      </c>
      <c r="F161" s="29">
        <v>34.6</v>
      </c>
      <c r="G161" s="29">
        <v>8.5299999999999958</v>
      </c>
      <c r="H161" s="29">
        <v>138</v>
      </c>
      <c r="I161" s="29">
        <f t="shared" si="24"/>
        <v>32.339999999999996</v>
      </c>
      <c r="J161" s="29">
        <f t="shared" si="25"/>
        <v>18.399999999999999</v>
      </c>
      <c r="K161" s="29">
        <f t="shared" si="26"/>
        <v>34.6</v>
      </c>
      <c r="L161" s="29">
        <f t="shared" si="27"/>
        <v>8.5299999999999958</v>
      </c>
      <c r="M161" s="29">
        <f t="shared" si="28"/>
        <v>138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 x14ac:dyDescent="0.5">
      <c r="A162" s="27">
        <v>161</v>
      </c>
      <c r="B162" s="27">
        <f t="shared" ref="B162:B193" si="29">WEEKDAY(C162,2)</f>
        <v>5</v>
      </c>
      <c r="C162" s="55">
        <f t="shared" ref="C162:C193" si="30">+C163-1</f>
        <v>45156</v>
      </c>
      <c r="D162" s="29">
        <v>44.5</v>
      </c>
      <c r="E162" s="29">
        <v>18.100000000000001</v>
      </c>
      <c r="F162" s="29">
        <v>30.7</v>
      </c>
      <c r="G162" s="29">
        <v>14.02</v>
      </c>
      <c r="H162" s="29">
        <v>159</v>
      </c>
      <c r="I162" s="29">
        <f t="shared" si="24"/>
        <v>44.5</v>
      </c>
      <c r="J162" s="29">
        <f t="shared" si="25"/>
        <v>18.100000000000001</v>
      </c>
      <c r="K162" s="29">
        <f t="shared" si="26"/>
        <v>30.7</v>
      </c>
      <c r="L162" s="29">
        <f t="shared" si="27"/>
        <v>14.02</v>
      </c>
      <c r="M162" s="29">
        <f t="shared" si="28"/>
        <v>159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 x14ac:dyDescent="0.5">
      <c r="A163" s="27">
        <v>162</v>
      </c>
      <c r="B163" s="27">
        <f t="shared" si="29"/>
        <v>6</v>
      </c>
      <c r="C163" s="55">
        <f t="shared" si="30"/>
        <v>45157</v>
      </c>
      <c r="D163" s="29">
        <v>19.14</v>
      </c>
      <c r="E163" s="29">
        <v>35.799999999999997</v>
      </c>
      <c r="F163" s="29">
        <v>49.3</v>
      </c>
      <c r="G163" s="29">
        <v>6.75</v>
      </c>
      <c r="H163" s="29">
        <v>151</v>
      </c>
      <c r="I163" s="29">
        <f t="shared" si="24"/>
        <v>19.14</v>
      </c>
      <c r="J163" s="29">
        <f t="shared" si="25"/>
        <v>35.799999999999997</v>
      </c>
      <c r="K163" s="29">
        <f t="shared" si="26"/>
        <v>49.3</v>
      </c>
      <c r="L163" s="29">
        <f t="shared" si="27"/>
        <v>6.75</v>
      </c>
      <c r="M163" s="29">
        <f t="shared" si="28"/>
        <v>151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 x14ac:dyDescent="0.5">
      <c r="A164" s="27">
        <v>163</v>
      </c>
      <c r="B164" s="27">
        <f t="shared" si="29"/>
        <v>7</v>
      </c>
      <c r="C164" s="55">
        <f t="shared" si="30"/>
        <v>45158</v>
      </c>
      <c r="D164" s="29">
        <v>42.68</v>
      </c>
      <c r="E164" s="29">
        <v>23.450000000000003</v>
      </c>
      <c r="F164" s="29">
        <v>25.9</v>
      </c>
      <c r="G164" s="29">
        <v>17.649999999999999</v>
      </c>
      <c r="H164" s="29">
        <v>168</v>
      </c>
      <c r="I164" s="29">
        <f t="shared" si="24"/>
        <v>42.68</v>
      </c>
      <c r="J164" s="29">
        <f t="shared" si="25"/>
        <v>23.450000000000003</v>
      </c>
      <c r="K164" s="29">
        <f t="shared" si="26"/>
        <v>25.9</v>
      </c>
      <c r="L164" s="29">
        <f t="shared" si="27"/>
        <v>17.649999999999999</v>
      </c>
      <c r="M164" s="29">
        <f t="shared" si="28"/>
        <v>168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 x14ac:dyDescent="0.5">
      <c r="A165" s="27">
        <v>164</v>
      </c>
      <c r="B165" s="27">
        <f t="shared" si="29"/>
        <v>1</v>
      </c>
      <c r="C165" s="55">
        <f t="shared" si="30"/>
        <v>45159</v>
      </c>
      <c r="D165" s="29">
        <v>33.700000000000003</v>
      </c>
      <c r="E165" s="29">
        <v>36.799999999999997</v>
      </c>
      <c r="F165" s="29">
        <v>7.4</v>
      </c>
      <c r="G165" s="29">
        <v>31.79</v>
      </c>
      <c r="H165" s="29">
        <v>193</v>
      </c>
      <c r="I165" s="29">
        <f t="shared" si="24"/>
        <v>33.700000000000003</v>
      </c>
      <c r="J165" s="29">
        <f t="shared" si="25"/>
        <v>36.799999999999997</v>
      </c>
      <c r="K165" s="29">
        <f t="shared" si="26"/>
        <v>7.4</v>
      </c>
      <c r="L165" s="29">
        <f t="shared" si="27"/>
        <v>31.79</v>
      </c>
      <c r="M165" s="29">
        <f t="shared" si="28"/>
        <v>193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 x14ac:dyDescent="0.5">
      <c r="A166" s="27">
        <v>165</v>
      </c>
      <c r="B166" s="27">
        <f t="shared" si="29"/>
        <v>2</v>
      </c>
      <c r="C166" s="55">
        <f t="shared" si="30"/>
        <v>45160</v>
      </c>
      <c r="D166" s="29">
        <v>28.44</v>
      </c>
      <c r="E166" s="29">
        <v>14.7</v>
      </c>
      <c r="F166" s="29">
        <v>5.4</v>
      </c>
      <c r="G166" s="29">
        <v>16.91</v>
      </c>
      <c r="H166" s="29">
        <v>132</v>
      </c>
      <c r="I166" s="29">
        <f t="shared" si="24"/>
        <v>28.44</v>
      </c>
      <c r="J166" s="29">
        <f t="shared" si="25"/>
        <v>14.7</v>
      </c>
      <c r="K166" s="29">
        <f t="shared" si="26"/>
        <v>5.4</v>
      </c>
      <c r="L166" s="29">
        <f t="shared" si="27"/>
        <v>16.91</v>
      </c>
      <c r="M166" s="29">
        <f t="shared" si="28"/>
        <v>132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 x14ac:dyDescent="0.5">
      <c r="A167" s="27">
        <v>166</v>
      </c>
      <c r="B167" s="27">
        <f t="shared" si="29"/>
        <v>3</v>
      </c>
      <c r="C167" s="55">
        <f t="shared" si="30"/>
        <v>45161</v>
      </c>
      <c r="D167" s="29">
        <v>56.9</v>
      </c>
      <c r="E167" s="29">
        <v>3.4</v>
      </c>
      <c r="F167" s="29">
        <v>84.8</v>
      </c>
      <c r="G167" s="29">
        <v>11.229999999999997</v>
      </c>
      <c r="H167" s="29">
        <v>131</v>
      </c>
      <c r="I167" s="29">
        <f t="shared" si="24"/>
        <v>56.9</v>
      </c>
      <c r="J167" s="29">
        <f t="shared" si="25"/>
        <v>3.4</v>
      </c>
      <c r="K167" s="29">
        <f t="shared" si="26"/>
        <v>84.8</v>
      </c>
      <c r="L167" s="29">
        <f t="shared" si="27"/>
        <v>11.229999999999997</v>
      </c>
      <c r="M167" s="29">
        <f t="shared" si="28"/>
        <v>131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 x14ac:dyDescent="0.5">
      <c r="A168" s="27">
        <v>167</v>
      </c>
      <c r="B168" s="27">
        <f t="shared" si="29"/>
        <v>4</v>
      </c>
      <c r="C168" s="55">
        <f t="shared" si="30"/>
        <v>45162</v>
      </c>
      <c r="D168" s="29">
        <v>11.58</v>
      </c>
      <c r="E168" s="29">
        <v>37.6</v>
      </c>
      <c r="F168" s="29">
        <v>21.6</v>
      </c>
      <c r="G168" s="29">
        <v>11.95</v>
      </c>
      <c r="H168" s="29">
        <v>90</v>
      </c>
      <c r="I168" s="29">
        <f t="shared" si="24"/>
        <v>11.58</v>
      </c>
      <c r="J168" s="29">
        <f t="shared" si="25"/>
        <v>37.6</v>
      </c>
      <c r="K168" s="29">
        <f t="shared" si="26"/>
        <v>21.6</v>
      </c>
      <c r="L168" s="29">
        <f t="shared" si="27"/>
        <v>11.95</v>
      </c>
      <c r="M168" s="29">
        <f t="shared" si="28"/>
        <v>90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 x14ac:dyDescent="0.5">
      <c r="A169" s="27">
        <v>168</v>
      </c>
      <c r="B169" s="27">
        <f t="shared" si="29"/>
        <v>5</v>
      </c>
      <c r="C169" s="55">
        <f t="shared" si="30"/>
        <v>45163</v>
      </c>
      <c r="D169" s="29">
        <v>48.36</v>
      </c>
      <c r="E169" s="29">
        <v>5.2</v>
      </c>
      <c r="F169" s="29">
        <v>19.399999999999999</v>
      </c>
      <c r="G169" s="29">
        <v>15.520000000000001</v>
      </c>
      <c r="H169" s="29">
        <v>129</v>
      </c>
      <c r="I169" s="29">
        <f t="shared" si="24"/>
        <v>48.36</v>
      </c>
      <c r="J169" s="29">
        <f t="shared" si="25"/>
        <v>5.2</v>
      </c>
      <c r="K169" s="29">
        <f t="shared" si="26"/>
        <v>19.399999999999999</v>
      </c>
      <c r="L169" s="29">
        <f t="shared" si="27"/>
        <v>15.520000000000001</v>
      </c>
      <c r="M169" s="29">
        <f t="shared" si="28"/>
        <v>129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 x14ac:dyDescent="0.5">
      <c r="A170" s="27">
        <v>169</v>
      </c>
      <c r="B170" s="27">
        <f t="shared" si="29"/>
        <v>6</v>
      </c>
      <c r="C170" s="55">
        <f t="shared" si="30"/>
        <v>45164</v>
      </c>
      <c r="D170" s="29">
        <v>45.08</v>
      </c>
      <c r="E170" s="29">
        <v>23.6</v>
      </c>
      <c r="F170" s="29">
        <v>57.6</v>
      </c>
      <c r="G170" s="29">
        <v>10.3</v>
      </c>
      <c r="H170" s="29">
        <v>185</v>
      </c>
      <c r="I170" s="29">
        <f t="shared" si="24"/>
        <v>45.08</v>
      </c>
      <c r="J170" s="29">
        <f t="shared" si="25"/>
        <v>23.6</v>
      </c>
      <c r="K170" s="29">
        <f t="shared" si="26"/>
        <v>57.6</v>
      </c>
      <c r="L170" s="29">
        <f t="shared" si="27"/>
        <v>10.3</v>
      </c>
      <c r="M170" s="29">
        <f t="shared" si="28"/>
        <v>185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 x14ac:dyDescent="0.5">
      <c r="A171" s="27">
        <v>170</v>
      </c>
      <c r="B171" s="27">
        <f t="shared" si="29"/>
        <v>7</v>
      </c>
      <c r="C171" s="55">
        <f t="shared" si="30"/>
        <v>45165</v>
      </c>
      <c r="D171" s="29">
        <v>60.86</v>
      </c>
      <c r="E171" s="29">
        <v>10.6</v>
      </c>
      <c r="F171" s="29">
        <v>6.4</v>
      </c>
      <c r="G171" s="29">
        <v>31.169999999999995</v>
      </c>
      <c r="H171" s="29">
        <v>162</v>
      </c>
      <c r="I171" s="29">
        <f t="shared" si="24"/>
        <v>60.86</v>
      </c>
      <c r="J171" s="29">
        <f t="shared" si="25"/>
        <v>10.6</v>
      </c>
      <c r="K171" s="29">
        <f t="shared" si="26"/>
        <v>6.4</v>
      </c>
      <c r="L171" s="29">
        <f t="shared" si="27"/>
        <v>31.169999999999995</v>
      </c>
      <c r="M171" s="29">
        <f t="shared" si="28"/>
        <v>162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 x14ac:dyDescent="0.5">
      <c r="A172" s="27">
        <v>171</v>
      </c>
      <c r="B172" s="27">
        <f t="shared" si="29"/>
        <v>1</v>
      </c>
      <c r="C172" s="55">
        <f t="shared" si="30"/>
        <v>45166</v>
      </c>
      <c r="D172" s="29">
        <v>12</v>
      </c>
      <c r="E172" s="29">
        <v>11.6</v>
      </c>
      <c r="F172" s="29">
        <v>18.399999999999999</v>
      </c>
      <c r="G172" s="29">
        <v>3.4400000000000013</v>
      </c>
      <c r="H172" s="29">
        <v>90</v>
      </c>
      <c r="I172" s="29">
        <f t="shared" si="24"/>
        <v>12</v>
      </c>
      <c r="J172" s="29">
        <f t="shared" si="25"/>
        <v>11.6</v>
      </c>
      <c r="K172" s="29">
        <f t="shared" si="26"/>
        <v>18.399999999999999</v>
      </c>
      <c r="L172" s="29">
        <f t="shared" si="27"/>
        <v>3.4400000000000013</v>
      </c>
      <c r="M172" s="29">
        <f t="shared" si="28"/>
        <v>90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 x14ac:dyDescent="0.5">
      <c r="A173" s="27">
        <v>172</v>
      </c>
      <c r="B173" s="27">
        <f t="shared" si="29"/>
        <v>2</v>
      </c>
      <c r="C173" s="55">
        <f t="shared" si="30"/>
        <v>45167</v>
      </c>
      <c r="D173" s="29">
        <v>42.9</v>
      </c>
      <c r="E173" s="29">
        <v>20.9</v>
      </c>
      <c r="F173" s="29">
        <v>47.4</v>
      </c>
      <c r="G173" s="29">
        <v>7.9399999999999977</v>
      </c>
      <c r="H173" s="29">
        <v>163</v>
      </c>
      <c r="I173" s="29">
        <f t="shared" si="24"/>
        <v>42.9</v>
      </c>
      <c r="J173" s="29">
        <f t="shared" si="25"/>
        <v>20.9</v>
      </c>
      <c r="K173" s="29">
        <f t="shared" si="26"/>
        <v>47.4</v>
      </c>
      <c r="L173" s="29">
        <f t="shared" si="27"/>
        <v>7.9399999999999977</v>
      </c>
      <c r="M173" s="29">
        <f t="shared" si="28"/>
        <v>163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 x14ac:dyDescent="0.5">
      <c r="A174" s="27">
        <v>173</v>
      </c>
      <c r="B174" s="27">
        <f t="shared" si="29"/>
        <v>3</v>
      </c>
      <c r="C174" s="55">
        <f t="shared" si="30"/>
        <v>45168</v>
      </c>
      <c r="D174" s="29">
        <v>9.92</v>
      </c>
      <c r="E174" s="29">
        <v>20.100000000000001</v>
      </c>
      <c r="F174" s="29">
        <v>17</v>
      </c>
      <c r="G174" s="29">
        <v>5.2100000000000009</v>
      </c>
      <c r="H174" s="29">
        <v>93</v>
      </c>
      <c r="I174" s="29">
        <f t="shared" si="24"/>
        <v>9.92</v>
      </c>
      <c r="J174" s="29">
        <f t="shared" si="25"/>
        <v>20.100000000000001</v>
      </c>
      <c r="K174" s="29">
        <f t="shared" si="26"/>
        <v>17</v>
      </c>
      <c r="L174" s="29">
        <f t="shared" si="27"/>
        <v>5.2100000000000009</v>
      </c>
      <c r="M174" s="29">
        <f t="shared" si="28"/>
        <v>93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 x14ac:dyDescent="0.5">
      <c r="A175" s="27">
        <v>174</v>
      </c>
      <c r="B175" s="27">
        <f t="shared" si="29"/>
        <v>4</v>
      </c>
      <c r="C175" s="55">
        <f t="shared" si="30"/>
        <v>45169</v>
      </c>
      <c r="D175" s="29">
        <v>36.68</v>
      </c>
      <c r="E175" s="29">
        <v>7.1</v>
      </c>
      <c r="F175" s="29">
        <v>12.8</v>
      </c>
      <c r="G175" s="29">
        <v>15.27</v>
      </c>
      <c r="H175" s="29">
        <v>129</v>
      </c>
      <c r="I175" s="29">
        <f t="shared" si="24"/>
        <v>36.68</v>
      </c>
      <c r="J175" s="29">
        <f t="shared" si="25"/>
        <v>7.1</v>
      </c>
      <c r="K175" s="29">
        <f t="shared" si="26"/>
        <v>12.8</v>
      </c>
      <c r="L175" s="29">
        <f t="shared" si="27"/>
        <v>15.27</v>
      </c>
      <c r="M175" s="29">
        <f t="shared" si="28"/>
        <v>129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 x14ac:dyDescent="0.5">
      <c r="A176" s="27">
        <v>175</v>
      </c>
      <c r="B176" s="27">
        <f t="shared" si="29"/>
        <v>5</v>
      </c>
      <c r="C176" s="55">
        <f t="shared" si="30"/>
        <v>45170</v>
      </c>
      <c r="D176" s="29">
        <v>53.480000000000004</v>
      </c>
      <c r="E176" s="29">
        <v>3.4</v>
      </c>
      <c r="F176" s="29">
        <v>13.1</v>
      </c>
      <c r="G176" s="29">
        <v>18.700000000000003</v>
      </c>
      <c r="H176" s="29">
        <v>127</v>
      </c>
      <c r="I176" s="29">
        <f t="shared" si="24"/>
        <v>53.480000000000004</v>
      </c>
      <c r="J176" s="29">
        <f t="shared" si="25"/>
        <v>3.4</v>
      </c>
      <c r="K176" s="29">
        <f t="shared" si="26"/>
        <v>13.1</v>
      </c>
      <c r="L176" s="29">
        <f t="shared" si="27"/>
        <v>18.700000000000003</v>
      </c>
      <c r="M176" s="29">
        <f t="shared" si="28"/>
        <v>127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 x14ac:dyDescent="0.5">
      <c r="A177" s="27">
        <v>176</v>
      </c>
      <c r="B177" s="27">
        <f t="shared" si="29"/>
        <v>6</v>
      </c>
      <c r="C177" s="55">
        <f t="shared" si="30"/>
        <v>45171</v>
      </c>
      <c r="D177" s="29">
        <v>64.38</v>
      </c>
      <c r="E177" s="29">
        <v>48.9</v>
      </c>
      <c r="F177" s="29">
        <v>41.8</v>
      </c>
      <c r="G177" s="29">
        <v>35.42</v>
      </c>
      <c r="H177" s="29">
        <v>271</v>
      </c>
      <c r="I177" s="29">
        <f t="shared" si="24"/>
        <v>64.38</v>
      </c>
      <c r="J177" s="29">
        <f t="shared" si="25"/>
        <v>48.9</v>
      </c>
      <c r="K177" s="29">
        <f t="shared" si="26"/>
        <v>41.8</v>
      </c>
      <c r="L177" s="29">
        <f t="shared" si="27"/>
        <v>35.42</v>
      </c>
      <c r="M177" s="29">
        <f t="shared" si="28"/>
        <v>271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 x14ac:dyDescent="0.5">
      <c r="A178" s="27">
        <v>177</v>
      </c>
      <c r="B178" s="27">
        <f t="shared" si="29"/>
        <v>7</v>
      </c>
      <c r="C178" s="55">
        <f t="shared" si="30"/>
        <v>45172</v>
      </c>
      <c r="D178" s="29">
        <v>58.68</v>
      </c>
      <c r="E178" s="29">
        <v>30.2</v>
      </c>
      <c r="F178" s="29">
        <v>20.3</v>
      </c>
      <c r="G178" s="29">
        <v>31.819999999999997</v>
      </c>
      <c r="H178" s="29">
        <v>216</v>
      </c>
      <c r="I178" s="29">
        <f t="shared" si="24"/>
        <v>58.68</v>
      </c>
      <c r="J178" s="29">
        <f t="shared" si="25"/>
        <v>30.2</v>
      </c>
      <c r="K178" s="29">
        <f t="shared" si="26"/>
        <v>20.3</v>
      </c>
      <c r="L178" s="29">
        <f t="shared" si="27"/>
        <v>31.819999999999997</v>
      </c>
      <c r="M178" s="29">
        <f t="shared" si="28"/>
        <v>216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 x14ac:dyDescent="0.5">
      <c r="A179" s="27">
        <v>178</v>
      </c>
      <c r="B179" s="27">
        <f t="shared" si="29"/>
        <v>1</v>
      </c>
      <c r="C179" s="55">
        <f t="shared" si="30"/>
        <v>45173</v>
      </c>
      <c r="D179" s="29">
        <v>40.04</v>
      </c>
      <c r="E179" s="29">
        <v>7.8</v>
      </c>
      <c r="F179" s="29">
        <v>35.200000000000003</v>
      </c>
      <c r="G179" s="29">
        <v>95</v>
      </c>
      <c r="H179" s="29">
        <v>131</v>
      </c>
      <c r="I179" s="29">
        <f t="shared" si="24"/>
        <v>40.04</v>
      </c>
      <c r="J179" s="29">
        <f t="shared" si="25"/>
        <v>7.8</v>
      </c>
      <c r="K179" s="29">
        <f t="shared" si="26"/>
        <v>35.200000000000003</v>
      </c>
      <c r="L179" s="29">
        <f t="shared" si="27"/>
        <v>41.756249999999994</v>
      </c>
      <c r="M179" s="29">
        <f t="shared" si="28"/>
        <v>131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 x14ac:dyDescent="0.5">
      <c r="A180" s="27">
        <v>179</v>
      </c>
      <c r="B180" s="27">
        <f t="shared" si="29"/>
        <v>2</v>
      </c>
      <c r="C180" s="55">
        <f t="shared" si="30"/>
        <v>45174</v>
      </c>
      <c r="D180" s="29">
        <v>63.339999999999996</v>
      </c>
      <c r="E180" s="29">
        <v>2.2999999999999998</v>
      </c>
      <c r="F180" s="29">
        <v>23.7</v>
      </c>
      <c r="G180" s="29">
        <v>19.339999999999996</v>
      </c>
      <c r="H180" s="29">
        <v>131</v>
      </c>
      <c r="I180" s="29">
        <f t="shared" si="24"/>
        <v>63.339999999999996</v>
      </c>
      <c r="J180" s="29">
        <f t="shared" si="25"/>
        <v>2.2999999999999998</v>
      </c>
      <c r="K180" s="29">
        <f t="shared" si="26"/>
        <v>23.7</v>
      </c>
      <c r="L180" s="29">
        <f t="shared" si="27"/>
        <v>19.339999999999996</v>
      </c>
      <c r="M180" s="29">
        <f t="shared" si="28"/>
        <v>131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 x14ac:dyDescent="0.5">
      <c r="A181" s="27">
        <v>180</v>
      </c>
      <c r="B181" s="27">
        <f t="shared" si="29"/>
        <v>3</v>
      </c>
      <c r="C181" s="55">
        <f t="shared" si="30"/>
        <v>45175</v>
      </c>
      <c r="D181" s="29">
        <v>41.12</v>
      </c>
      <c r="E181" s="29">
        <v>10</v>
      </c>
      <c r="F181" s="29">
        <v>17.600000000000001</v>
      </c>
      <c r="G181" s="29">
        <v>14.519999999999998</v>
      </c>
      <c r="H181" s="29">
        <v>135</v>
      </c>
      <c r="I181" s="29">
        <f t="shared" si="24"/>
        <v>41.12</v>
      </c>
      <c r="J181" s="29">
        <f t="shared" si="25"/>
        <v>10</v>
      </c>
      <c r="K181" s="29">
        <f t="shared" si="26"/>
        <v>17.600000000000001</v>
      </c>
      <c r="L181" s="29">
        <f t="shared" si="27"/>
        <v>14.519999999999998</v>
      </c>
      <c r="M181" s="29">
        <f t="shared" si="28"/>
        <v>135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 x14ac:dyDescent="0.5">
      <c r="A182" s="27">
        <v>181</v>
      </c>
      <c r="B182" s="27">
        <f t="shared" si="29"/>
        <v>4</v>
      </c>
      <c r="C182" s="55">
        <f t="shared" si="30"/>
        <v>45176</v>
      </c>
      <c r="D182" s="29">
        <v>36.32</v>
      </c>
      <c r="E182" s="29">
        <v>2.6</v>
      </c>
      <c r="F182" s="29">
        <v>8.3000000000000007</v>
      </c>
      <c r="G182" s="29">
        <v>13.64</v>
      </c>
      <c r="H182" s="29">
        <v>108</v>
      </c>
      <c r="I182" s="29">
        <f t="shared" si="24"/>
        <v>36.32</v>
      </c>
      <c r="J182" s="29">
        <f t="shared" si="25"/>
        <v>2.6</v>
      </c>
      <c r="K182" s="29">
        <f t="shared" si="26"/>
        <v>8.3000000000000007</v>
      </c>
      <c r="L182" s="29">
        <f t="shared" si="27"/>
        <v>13.64</v>
      </c>
      <c r="M182" s="29">
        <f t="shared" si="28"/>
        <v>108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 x14ac:dyDescent="0.5">
      <c r="A183" s="27">
        <v>182</v>
      </c>
      <c r="B183" s="27">
        <f t="shared" si="29"/>
        <v>5</v>
      </c>
      <c r="C183" s="55">
        <f t="shared" si="30"/>
        <v>45177</v>
      </c>
      <c r="D183" s="29">
        <v>52.7</v>
      </c>
      <c r="E183" s="29">
        <v>5.4</v>
      </c>
      <c r="F183" s="29">
        <v>27.4</v>
      </c>
      <c r="G183" s="29">
        <v>13.59</v>
      </c>
      <c r="H183" s="29">
        <v>124</v>
      </c>
      <c r="I183" s="29">
        <f t="shared" si="24"/>
        <v>52.7</v>
      </c>
      <c r="J183" s="29">
        <f t="shared" si="25"/>
        <v>5.4</v>
      </c>
      <c r="K183" s="29">
        <f t="shared" si="26"/>
        <v>27.4</v>
      </c>
      <c r="L183" s="29">
        <f t="shared" si="27"/>
        <v>13.59</v>
      </c>
      <c r="M183" s="29">
        <f t="shared" si="28"/>
        <v>124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 x14ac:dyDescent="0.5">
      <c r="A184" s="27">
        <v>183</v>
      </c>
      <c r="B184" s="27">
        <f t="shared" si="29"/>
        <v>6</v>
      </c>
      <c r="C184" s="55">
        <f t="shared" si="30"/>
        <v>45178</v>
      </c>
      <c r="D184" s="29">
        <v>18.240000000000002</v>
      </c>
      <c r="E184" s="29">
        <v>5.7</v>
      </c>
      <c r="F184" s="29">
        <v>29.7</v>
      </c>
      <c r="G184" s="29">
        <v>16.59</v>
      </c>
      <c r="H184" s="29">
        <v>105</v>
      </c>
      <c r="I184" s="29">
        <f t="shared" si="24"/>
        <v>18.240000000000002</v>
      </c>
      <c r="J184" s="29">
        <f t="shared" si="25"/>
        <v>5.7</v>
      </c>
      <c r="K184" s="29">
        <f t="shared" si="26"/>
        <v>29.7</v>
      </c>
      <c r="L184" s="29">
        <f t="shared" si="27"/>
        <v>16.59</v>
      </c>
      <c r="M184" s="29">
        <f t="shared" si="28"/>
        <v>105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 x14ac:dyDescent="0.5">
      <c r="A185" s="27">
        <v>184</v>
      </c>
      <c r="B185" s="27">
        <f t="shared" si="29"/>
        <v>7</v>
      </c>
      <c r="C185" s="55">
        <f t="shared" si="30"/>
        <v>45179</v>
      </c>
      <c r="D185" s="29">
        <v>65.52000000000001</v>
      </c>
      <c r="E185" s="29">
        <v>43</v>
      </c>
      <c r="F185" s="29">
        <v>71.8</v>
      </c>
      <c r="G185" s="29">
        <v>21.540000000000006</v>
      </c>
      <c r="H185" s="29">
        <v>272</v>
      </c>
      <c r="I185" s="29">
        <f t="shared" si="24"/>
        <v>65.52000000000001</v>
      </c>
      <c r="J185" s="29">
        <f t="shared" si="25"/>
        <v>43</v>
      </c>
      <c r="K185" s="29">
        <f t="shared" si="26"/>
        <v>71.8</v>
      </c>
      <c r="L185" s="29">
        <f t="shared" si="27"/>
        <v>21.540000000000006</v>
      </c>
      <c r="M185" s="29">
        <f t="shared" si="28"/>
        <v>272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 x14ac:dyDescent="0.5">
      <c r="A186" s="27">
        <v>185</v>
      </c>
      <c r="B186" s="27">
        <f t="shared" si="29"/>
        <v>1</v>
      </c>
      <c r="C186" s="55">
        <f t="shared" si="30"/>
        <v>45180</v>
      </c>
      <c r="D186" s="29">
        <v>58.760000000000005</v>
      </c>
      <c r="E186" s="29">
        <v>21.3</v>
      </c>
      <c r="F186" s="29">
        <v>30</v>
      </c>
      <c r="G186" s="29">
        <v>24.03</v>
      </c>
      <c r="H186" s="29">
        <v>188</v>
      </c>
      <c r="I186" s="29">
        <f t="shared" si="24"/>
        <v>58.760000000000005</v>
      </c>
      <c r="J186" s="29">
        <f t="shared" si="25"/>
        <v>21.3</v>
      </c>
      <c r="K186" s="29">
        <f t="shared" si="26"/>
        <v>30</v>
      </c>
      <c r="L186" s="29">
        <f t="shared" si="27"/>
        <v>24.03</v>
      </c>
      <c r="M186" s="29">
        <f t="shared" si="28"/>
        <v>188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 x14ac:dyDescent="0.5">
      <c r="A187" s="27">
        <v>186</v>
      </c>
      <c r="B187" s="27">
        <f t="shared" si="29"/>
        <v>2</v>
      </c>
      <c r="C187" s="55">
        <f t="shared" si="30"/>
        <v>45181</v>
      </c>
      <c r="D187" s="29">
        <v>46</v>
      </c>
      <c r="E187" s="29">
        <v>45.1</v>
      </c>
      <c r="F187" s="29">
        <v>19.600000000000001</v>
      </c>
      <c r="G187" s="29">
        <v>35.209999999999994</v>
      </c>
      <c r="H187" s="29">
        <v>228</v>
      </c>
      <c r="I187" s="29">
        <f t="shared" si="24"/>
        <v>46</v>
      </c>
      <c r="J187" s="29">
        <f t="shared" si="25"/>
        <v>45.1</v>
      </c>
      <c r="K187" s="29">
        <f t="shared" si="26"/>
        <v>19.600000000000001</v>
      </c>
      <c r="L187" s="29">
        <f t="shared" si="27"/>
        <v>35.209999999999994</v>
      </c>
      <c r="M187" s="29">
        <f t="shared" si="28"/>
        <v>228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 x14ac:dyDescent="0.5">
      <c r="A188" s="27">
        <v>187</v>
      </c>
      <c r="B188" s="27">
        <f t="shared" si="29"/>
        <v>3</v>
      </c>
      <c r="C188" s="55">
        <f t="shared" si="30"/>
        <v>45182</v>
      </c>
      <c r="D188" s="29">
        <v>35.9</v>
      </c>
      <c r="E188" s="29">
        <v>2.1</v>
      </c>
      <c r="F188" s="29">
        <v>26.6</v>
      </c>
      <c r="G188" s="29">
        <v>4.3599999999999994</v>
      </c>
      <c r="H188" s="29">
        <v>108</v>
      </c>
      <c r="I188" s="29">
        <f t="shared" si="24"/>
        <v>35.9</v>
      </c>
      <c r="J188" s="29">
        <f t="shared" si="25"/>
        <v>2.1</v>
      </c>
      <c r="K188" s="29">
        <f t="shared" si="26"/>
        <v>26.6</v>
      </c>
      <c r="L188" s="29">
        <f t="shared" si="27"/>
        <v>4.3599999999999994</v>
      </c>
      <c r="M188" s="29">
        <f t="shared" si="28"/>
        <v>108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 x14ac:dyDescent="0.5">
      <c r="A189" s="27">
        <v>188</v>
      </c>
      <c r="B189" s="27">
        <f t="shared" si="29"/>
        <v>4</v>
      </c>
      <c r="C189" s="55">
        <f t="shared" si="30"/>
        <v>45183</v>
      </c>
      <c r="D189" s="29">
        <v>41.22</v>
      </c>
      <c r="E189" s="29">
        <v>28.7</v>
      </c>
      <c r="F189" s="29">
        <v>18.2</v>
      </c>
      <c r="G189" s="29">
        <v>26.18</v>
      </c>
      <c r="H189" s="29">
        <v>186</v>
      </c>
      <c r="I189" s="29">
        <f t="shared" si="24"/>
        <v>41.22</v>
      </c>
      <c r="J189" s="29">
        <f t="shared" si="25"/>
        <v>28.7</v>
      </c>
      <c r="K189" s="29">
        <f t="shared" si="26"/>
        <v>18.2</v>
      </c>
      <c r="L189" s="29">
        <f t="shared" si="27"/>
        <v>26.18</v>
      </c>
      <c r="M189" s="29">
        <f t="shared" si="28"/>
        <v>186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 x14ac:dyDescent="0.5">
      <c r="A190" s="27">
        <v>189</v>
      </c>
      <c r="B190" s="27">
        <f t="shared" si="29"/>
        <v>5</v>
      </c>
      <c r="C190" s="55">
        <f t="shared" si="30"/>
        <v>45184</v>
      </c>
      <c r="D190" s="29">
        <v>59.2</v>
      </c>
      <c r="E190" s="29">
        <v>13.9</v>
      </c>
      <c r="F190" s="29">
        <v>3.7</v>
      </c>
      <c r="G190" s="29">
        <v>34.070000000000007</v>
      </c>
      <c r="H190" s="29">
        <v>167</v>
      </c>
      <c r="I190" s="29">
        <f t="shared" si="24"/>
        <v>59.2</v>
      </c>
      <c r="J190" s="29">
        <f t="shared" si="25"/>
        <v>13.9</v>
      </c>
      <c r="K190" s="29">
        <f t="shared" si="26"/>
        <v>3.7</v>
      </c>
      <c r="L190" s="29">
        <f t="shared" si="27"/>
        <v>34.070000000000007</v>
      </c>
      <c r="M190" s="29">
        <f t="shared" si="28"/>
        <v>167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 x14ac:dyDescent="0.5">
      <c r="A191" s="27">
        <v>190</v>
      </c>
      <c r="B191" s="27">
        <f t="shared" si="29"/>
        <v>6</v>
      </c>
      <c r="C191" s="55">
        <f t="shared" si="30"/>
        <v>45185</v>
      </c>
      <c r="D191" s="29">
        <v>6.74</v>
      </c>
      <c r="E191" s="29">
        <v>12.1</v>
      </c>
      <c r="F191" s="29">
        <v>23.4</v>
      </c>
      <c r="G191" s="29">
        <v>18.560000000000002</v>
      </c>
      <c r="H191" s="29">
        <v>83</v>
      </c>
      <c r="I191" s="29">
        <f t="shared" si="24"/>
        <v>6.74</v>
      </c>
      <c r="J191" s="29">
        <f t="shared" si="25"/>
        <v>12.1</v>
      </c>
      <c r="K191" s="29">
        <f t="shared" si="26"/>
        <v>23.4</v>
      </c>
      <c r="L191" s="29">
        <f t="shared" si="27"/>
        <v>18.560000000000002</v>
      </c>
      <c r="M191" s="29">
        <f t="shared" si="28"/>
        <v>83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 x14ac:dyDescent="0.5">
      <c r="A192" s="27">
        <v>191</v>
      </c>
      <c r="B192" s="27">
        <f t="shared" si="29"/>
        <v>7</v>
      </c>
      <c r="C192" s="55">
        <f t="shared" si="30"/>
        <v>45186</v>
      </c>
      <c r="D192" s="29">
        <v>15.9</v>
      </c>
      <c r="E192" s="29">
        <v>41.1</v>
      </c>
      <c r="F192" s="29">
        <v>5.8</v>
      </c>
      <c r="G192" s="29">
        <v>22.18</v>
      </c>
      <c r="H192" s="29">
        <v>114</v>
      </c>
      <c r="I192" s="29">
        <f t="shared" si="24"/>
        <v>15.9</v>
      </c>
      <c r="J192" s="29">
        <f t="shared" si="25"/>
        <v>41.1</v>
      </c>
      <c r="K192" s="29">
        <f t="shared" si="26"/>
        <v>5.8</v>
      </c>
      <c r="L192" s="29">
        <f t="shared" si="27"/>
        <v>22.18</v>
      </c>
      <c r="M192" s="29">
        <f t="shared" si="28"/>
        <v>114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 x14ac:dyDescent="0.5">
      <c r="A193" s="27">
        <v>192</v>
      </c>
      <c r="B193" s="27">
        <f t="shared" si="29"/>
        <v>1</v>
      </c>
      <c r="C193" s="55">
        <f t="shared" si="30"/>
        <v>45187</v>
      </c>
      <c r="D193" s="29">
        <v>21.1</v>
      </c>
      <c r="E193" s="29">
        <v>10.8</v>
      </c>
      <c r="F193" s="29">
        <v>6</v>
      </c>
      <c r="G193" s="29">
        <v>10.549999999999999</v>
      </c>
      <c r="H193" s="29">
        <v>116</v>
      </c>
      <c r="I193" s="29">
        <f t="shared" si="24"/>
        <v>21.1</v>
      </c>
      <c r="J193" s="29">
        <f t="shared" si="25"/>
        <v>10.8</v>
      </c>
      <c r="K193" s="29">
        <f t="shared" si="26"/>
        <v>6</v>
      </c>
      <c r="L193" s="29">
        <f t="shared" si="27"/>
        <v>10.549999999999999</v>
      </c>
      <c r="M193" s="29">
        <f t="shared" si="28"/>
        <v>116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 x14ac:dyDescent="0.5">
      <c r="A194" s="27">
        <v>193</v>
      </c>
      <c r="B194" s="27">
        <f t="shared" ref="B194:B201" si="31">WEEKDAY(C194,2)</f>
        <v>2</v>
      </c>
      <c r="C194" s="55">
        <f t="shared" ref="C194:C200" si="32">+C195-1</f>
        <v>45188</v>
      </c>
      <c r="D194" s="29">
        <v>12.44</v>
      </c>
      <c r="E194" s="29">
        <v>4.0999999999999996</v>
      </c>
      <c r="F194" s="29">
        <v>31.6</v>
      </c>
      <c r="G194" s="29">
        <v>11.129999999999999</v>
      </c>
      <c r="H194" s="29">
        <v>62</v>
      </c>
      <c r="I194" s="29">
        <f t="shared" si="24"/>
        <v>12.44</v>
      </c>
      <c r="J194" s="29">
        <f t="shared" si="25"/>
        <v>4.0999999999999996</v>
      </c>
      <c r="K194" s="29">
        <f t="shared" si="26"/>
        <v>31.6</v>
      </c>
      <c r="L194" s="29">
        <f t="shared" si="27"/>
        <v>11.129999999999999</v>
      </c>
      <c r="M194" s="29">
        <f t="shared" si="28"/>
        <v>62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 x14ac:dyDescent="0.5">
      <c r="A195" s="27">
        <v>194</v>
      </c>
      <c r="B195" s="27">
        <f t="shared" si="31"/>
        <v>3</v>
      </c>
      <c r="C195" s="55">
        <f t="shared" si="32"/>
        <v>45189</v>
      </c>
      <c r="D195" s="29">
        <v>41.36</v>
      </c>
      <c r="E195" s="29">
        <v>42</v>
      </c>
      <c r="F195" s="29">
        <v>3.6</v>
      </c>
      <c r="G195" s="29">
        <v>36.24</v>
      </c>
      <c r="H195" s="29">
        <v>204</v>
      </c>
      <c r="I195" s="29">
        <f t="shared" ref="I195:I201" si="33">IF(D195&gt;T$4,T$4,D195)</f>
        <v>41.36</v>
      </c>
      <c r="J195" s="29">
        <f t="shared" ref="J195:J201" si="34">IF(E195&gt;T$5,T$5,E195)</f>
        <v>42</v>
      </c>
      <c r="K195" s="29">
        <f t="shared" ref="K195:K201" si="35">IF(F195&gt;T$6,T$6,F195)</f>
        <v>3.6</v>
      </c>
      <c r="L195" s="29">
        <f t="shared" ref="L195:L201" si="36">IF(G195&gt;T$7,T$7,G195)</f>
        <v>36.24</v>
      </c>
      <c r="M195" s="29">
        <f t="shared" ref="M195:M201" si="37">IF(H195&gt;T$8,T$8,H195)</f>
        <v>204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 x14ac:dyDescent="0.5">
      <c r="A196" s="27">
        <v>195</v>
      </c>
      <c r="B196" s="27">
        <f t="shared" si="31"/>
        <v>4</v>
      </c>
      <c r="C196" s="55">
        <f t="shared" si="32"/>
        <v>45190</v>
      </c>
      <c r="D196" s="29">
        <v>32.94</v>
      </c>
      <c r="E196" s="29">
        <v>35.6</v>
      </c>
      <c r="F196" s="29">
        <v>6</v>
      </c>
      <c r="G196" s="29">
        <v>17.100000000000001</v>
      </c>
      <c r="H196" s="29">
        <v>184</v>
      </c>
      <c r="I196" s="29">
        <f t="shared" si="33"/>
        <v>32.94</v>
      </c>
      <c r="J196" s="29">
        <f t="shared" si="34"/>
        <v>35.6</v>
      </c>
      <c r="K196" s="29">
        <f t="shared" si="35"/>
        <v>6</v>
      </c>
      <c r="L196" s="29">
        <f t="shared" si="36"/>
        <v>17.100000000000001</v>
      </c>
      <c r="M196" s="29">
        <f t="shared" si="37"/>
        <v>184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 x14ac:dyDescent="0.5">
      <c r="A197" s="27">
        <v>196</v>
      </c>
      <c r="B197" s="27">
        <f t="shared" si="31"/>
        <v>5</v>
      </c>
      <c r="C197" s="55">
        <f t="shared" si="32"/>
        <v>45191</v>
      </c>
      <c r="D197" s="29">
        <v>14.64</v>
      </c>
      <c r="E197" s="29">
        <v>3.7</v>
      </c>
      <c r="F197" s="29">
        <v>13.8</v>
      </c>
      <c r="G197" s="29">
        <v>0.14999999999999947</v>
      </c>
      <c r="H197" s="29">
        <v>91</v>
      </c>
      <c r="I197" s="29">
        <f t="shared" si="33"/>
        <v>14.64</v>
      </c>
      <c r="J197" s="29">
        <f t="shared" si="34"/>
        <v>3.7</v>
      </c>
      <c r="K197" s="29">
        <f t="shared" si="35"/>
        <v>13.8</v>
      </c>
      <c r="L197" s="29">
        <f t="shared" si="36"/>
        <v>0.14999999999999947</v>
      </c>
      <c r="M197" s="29">
        <f t="shared" si="37"/>
        <v>91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 x14ac:dyDescent="0.5">
      <c r="A198" s="27">
        <v>197</v>
      </c>
      <c r="B198" s="27">
        <f t="shared" si="31"/>
        <v>6</v>
      </c>
      <c r="C198" s="55">
        <f t="shared" si="32"/>
        <v>45192</v>
      </c>
      <c r="D198" s="29">
        <v>27.84</v>
      </c>
      <c r="E198" s="29">
        <v>4.9000000000000004</v>
      </c>
      <c r="F198" s="29">
        <v>8.1</v>
      </c>
      <c r="G198" s="29">
        <v>8.6300000000000008</v>
      </c>
      <c r="H198" s="29">
        <v>116</v>
      </c>
      <c r="I198" s="29">
        <f t="shared" si="33"/>
        <v>27.84</v>
      </c>
      <c r="J198" s="29">
        <f t="shared" si="34"/>
        <v>4.9000000000000004</v>
      </c>
      <c r="K198" s="29">
        <f t="shared" si="35"/>
        <v>8.1</v>
      </c>
      <c r="L198" s="29">
        <f t="shared" si="36"/>
        <v>8.6300000000000008</v>
      </c>
      <c r="M198" s="29">
        <f t="shared" si="37"/>
        <v>116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 x14ac:dyDescent="0.5">
      <c r="A199" s="27">
        <v>198</v>
      </c>
      <c r="B199" s="27">
        <f t="shared" si="31"/>
        <v>7</v>
      </c>
      <c r="C199" s="55">
        <f t="shared" si="32"/>
        <v>45193</v>
      </c>
      <c r="D199" s="29">
        <v>44.4</v>
      </c>
      <c r="E199" s="29">
        <v>9.3000000000000007</v>
      </c>
      <c r="F199" s="29">
        <v>6.4</v>
      </c>
      <c r="G199" s="29">
        <v>19.79</v>
      </c>
      <c r="H199" s="29">
        <v>139</v>
      </c>
      <c r="I199" s="29">
        <f t="shared" si="33"/>
        <v>44.4</v>
      </c>
      <c r="J199" s="29">
        <f t="shared" si="34"/>
        <v>9.3000000000000007</v>
      </c>
      <c r="K199" s="29">
        <f t="shared" si="35"/>
        <v>6.4</v>
      </c>
      <c r="L199" s="29">
        <f t="shared" si="36"/>
        <v>19.79</v>
      </c>
      <c r="M199" s="29">
        <f t="shared" si="37"/>
        <v>139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 x14ac:dyDescent="0.5">
      <c r="A200" s="27">
        <v>199</v>
      </c>
      <c r="B200" s="27">
        <f t="shared" si="31"/>
        <v>1</v>
      </c>
      <c r="C200" s="55">
        <f t="shared" si="32"/>
        <v>45194</v>
      </c>
      <c r="D200" s="29">
        <v>57.720000000000006</v>
      </c>
      <c r="E200" s="29">
        <v>42</v>
      </c>
      <c r="F200" s="29">
        <v>66.2</v>
      </c>
      <c r="G200" s="29">
        <v>22.879999999999995</v>
      </c>
      <c r="H200" s="29">
        <v>235.5</v>
      </c>
      <c r="I200" s="29">
        <f t="shared" si="33"/>
        <v>57.720000000000006</v>
      </c>
      <c r="J200" s="29">
        <f t="shared" si="34"/>
        <v>42</v>
      </c>
      <c r="K200" s="29">
        <f t="shared" si="35"/>
        <v>66.2</v>
      </c>
      <c r="L200" s="29">
        <f t="shared" si="36"/>
        <v>22.879999999999995</v>
      </c>
      <c r="M200" s="29">
        <f t="shared" si="37"/>
        <v>235.5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 x14ac:dyDescent="0.5">
      <c r="A201" s="27">
        <v>200</v>
      </c>
      <c r="B201" s="27">
        <f t="shared" si="31"/>
        <v>2</v>
      </c>
      <c r="C201" s="55">
        <v>45195</v>
      </c>
      <c r="D201" s="29">
        <v>52.42</v>
      </c>
      <c r="E201" s="29">
        <v>8.6</v>
      </c>
      <c r="F201" s="29">
        <v>8.6999999999999993</v>
      </c>
      <c r="G201" s="29">
        <v>1</v>
      </c>
      <c r="H201" s="29">
        <v>139</v>
      </c>
      <c r="I201" s="29">
        <f t="shared" si="33"/>
        <v>52.42</v>
      </c>
      <c r="J201" s="29">
        <f t="shared" si="34"/>
        <v>8.6</v>
      </c>
      <c r="K201" s="29">
        <f t="shared" si="35"/>
        <v>8.6999999999999993</v>
      </c>
      <c r="L201" s="29">
        <f t="shared" si="36"/>
        <v>1</v>
      </c>
      <c r="M201" s="29">
        <f t="shared" si="37"/>
        <v>139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 x14ac:dyDescent="0.5"/>
    <row r="203" spans="1:23" ht="15.75" customHeight="1" x14ac:dyDescent="0.5"/>
    <row r="204" spans="1:23" ht="15.75" customHeight="1" x14ac:dyDescent="0.5"/>
    <row r="205" spans="1:23" ht="15.75" customHeight="1" x14ac:dyDescent="0.5"/>
    <row r="206" spans="1:23" ht="15.75" customHeight="1" x14ac:dyDescent="0.5"/>
    <row r="207" spans="1:23" ht="15.75" customHeight="1" x14ac:dyDescent="0.5"/>
    <row r="208" spans="1:23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M1" xr:uid="{DC51644F-52B2-E24D-85DA-AFB8901C6F30}">
    <sortState xmlns:xlrd2="http://schemas.microsoft.com/office/spreadsheetml/2017/richdata2" ref="A2:M201">
      <sortCondition ref="A1:A201"/>
    </sortState>
  </autoFilter>
  <mergeCells count="2">
    <mergeCell ref="O2:U2"/>
    <mergeCell ref="O12:R12"/>
  </mergeCells>
  <pageMargins left="0.7" right="0.7" top="0.75" bottom="0.75" header="0" footer="0"/>
  <pageSetup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BE7-EB6F-574A-8DBE-A4FBE54380C1}">
  <dimension ref="A1:U1000"/>
  <sheetViews>
    <sheetView showGridLines="0" zoomScale="66" zoomScaleNormal="200" workbookViewId="0">
      <selection activeCell="P28" sqref="P28"/>
    </sheetView>
  </sheetViews>
  <sheetFormatPr defaultColWidth="11.1875" defaultRowHeight="15" customHeight="1" x14ac:dyDescent="0.5"/>
  <cols>
    <col min="1" max="2" width="10.5" customWidth="1"/>
    <col min="3" max="3" width="14.875" customWidth="1"/>
    <col min="4" max="4" width="10.5" style="4" customWidth="1"/>
    <col min="5" max="5" width="10.5" customWidth="1"/>
    <col min="6" max="6" width="11.0625" customWidth="1"/>
    <col min="7" max="9" width="10.5" customWidth="1"/>
    <col min="10" max="10" width="13.0625" bestFit="1" customWidth="1"/>
    <col min="11" max="12" width="10.5" customWidth="1"/>
    <col min="21" max="21" width="11.9375" bestFit="1" customWidth="1"/>
  </cols>
  <sheetData>
    <row r="1" spans="1:21" ht="26.25" customHeight="1" x14ac:dyDescent="0.5">
      <c r="A1" s="66" t="s">
        <v>0</v>
      </c>
      <c r="B1" s="66" t="s">
        <v>17</v>
      </c>
      <c r="C1" s="66" t="s">
        <v>1</v>
      </c>
      <c r="D1" s="57" t="s">
        <v>12</v>
      </c>
      <c r="E1" s="57" t="s">
        <v>13</v>
      </c>
      <c r="F1" s="57" t="s">
        <v>14</v>
      </c>
      <c r="G1" s="57" t="s">
        <v>15</v>
      </c>
      <c r="H1" s="57" t="s">
        <v>16</v>
      </c>
    </row>
    <row r="2" spans="1:21" ht="15.75" customHeight="1" thickBot="1" x14ac:dyDescent="0.55000000000000004">
      <c r="A2" s="27">
        <v>1</v>
      </c>
      <c r="B2" s="27">
        <f t="shared" ref="B2:B33" si="0">WEEKDAY(C2,2)</f>
        <v>6</v>
      </c>
      <c r="C2" s="55">
        <f t="shared" ref="C2:C33" si="1">+C3-1</f>
        <v>44996</v>
      </c>
      <c r="D2" s="29">
        <v>56.02</v>
      </c>
      <c r="E2" s="29">
        <v>37.799999999999997</v>
      </c>
      <c r="F2" s="29">
        <v>69.2</v>
      </c>
      <c r="G2" s="29">
        <v>14.229999999999993</v>
      </c>
      <c r="H2" s="29">
        <v>236</v>
      </c>
    </row>
    <row r="3" spans="1:21" ht="26.25" customHeight="1" x14ac:dyDescent="0.65">
      <c r="A3" s="27">
        <v>2</v>
      </c>
      <c r="B3" s="27">
        <f t="shared" si="0"/>
        <v>7</v>
      </c>
      <c r="C3" s="55">
        <f t="shared" si="1"/>
        <v>44997</v>
      </c>
      <c r="D3" s="29">
        <v>10.9</v>
      </c>
      <c r="E3" s="29">
        <v>39.299999999999997</v>
      </c>
      <c r="F3" s="29">
        <v>45.1</v>
      </c>
      <c r="G3" s="29">
        <v>6.0599999999999952</v>
      </c>
      <c r="H3" s="29">
        <v>122</v>
      </c>
      <c r="J3" s="126" t="s">
        <v>74</v>
      </c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8"/>
    </row>
    <row r="4" spans="1:21" ht="15.75" customHeight="1" x14ac:dyDescent="0.5">
      <c r="A4" s="27">
        <v>3</v>
      </c>
      <c r="B4" s="27">
        <f t="shared" si="0"/>
        <v>1</v>
      </c>
      <c r="C4" s="55">
        <f t="shared" si="1"/>
        <v>44998</v>
      </c>
      <c r="D4" s="29">
        <v>12.44</v>
      </c>
      <c r="E4" s="29">
        <v>45.9</v>
      </c>
      <c r="F4" s="29">
        <v>69.3</v>
      </c>
      <c r="G4" s="29">
        <v>16.95</v>
      </c>
      <c r="H4" s="29">
        <v>96</v>
      </c>
      <c r="J4" s="83" t="s">
        <v>50</v>
      </c>
      <c r="K4" s="60" t="s">
        <v>48</v>
      </c>
      <c r="L4" s="60" t="s">
        <v>9</v>
      </c>
      <c r="M4" s="60" t="s">
        <v>10</v>
      </c>
      <c r="N4" s="60" t="s">
        <v>11</v>
      </c>
      <c r="O4" s="60" t="s">
        <v>58</v>
      </c>
      <c r="P4" s="59" t="s">
        <v>20</v>
      </c>
      <c r="Q4" s="59" t="s">
        <v>21</v>
      </c>
      <c r="R4" s="59" t="s">
        <v>22</v>
      </c>
      <c r="S4" s="59" t="s">
        <v>66</v>
      </c>
      <c r="T4" s="59" t="s">
        <v>67</v>
      </c>
      <c r="U4" s="67" t="s">
        <v>68</v>
      </c>
    </row>
    <row r="5" spans="1:21" ht="15.75" customHeight="1" x14ac:dyDescent="0.5">
      <c r="A5" s="27">
        <v>4</v>
      </c>
      <c r="B5" s="27">
        <f t="shared" si="0"/>
        <v>2</v>
      </c>
      <c r="C5" s="55">
        <f t="shared" si="1"/>
        <v>44999</v>
      </c>
      <c r="D5" s="29">
        <v>31.3</v>
      </c>
      <c r="E5" s="29">
        <v>41.3</v>
      </c>
      <c r="F5" s="29">
        <v>58.5</v>
      </c>
      <c r="G5" s="29">
        <v>12.399999999999995</v>
      </c>
      <c r="H5" s="29">
        <v>197</v>
      </c>
      <c r="J5" s="68" t="s">
        <v>59</v>
      </c>
      <c r="K5" s="61">
        <f>COUNTBLANK(D2:D201)</f>
        <v>0</v>
      </c>
      <c r="L5" s="62">
        <f>AVERAGE(D2:D201)</f>
        <v>37.000404166666684</v>
      </c>
      <c r="M5" s="63">
        <f>MEDIAN(D2:D201)</f>
        <v>38.209999999999994</v>
      </c>
      <c r="N5" s="63">
        <f>_xlfn.STDEV.P(D2:D201)</f>
        <v>19.365510317059048</v>
      </c>
      <c r="O5" s="64">
        <f>N5/L5</f>
        <v>0.5233864535594791</v>
      </c>
      <c r="P5" s="58">
        <f>QUARTILE($D$2:$D$201,1)</f>
        <v>20.455000000000002</v>
      </c>
      <c r="Q5" s="58">
        <f>QUARTILE($D$2:$D$201,3)</f>
        <v>50.744999999999997</v>
      </c>
      <c r="R5" s="58">
        <f>Q5-P5</f>
        <v>30.289999999999996</v>
      </c>
      <c r="S5" s="58">
        <f>P5-1.5*R5</f>
        <v>-24.979999999999993</v>
      </c>
      <c r="T5" s="58">
        <f>Q5+1.5*R5</f>
        <v>96.179999999999993</v>
      </c>
      <c r="U5" s="69">
        <v>0</v>
      </c>
    </row>
    <row r="6" spans="1:21" ht="15.75" customHeight="1" x14ac:dyDescent="0.5">
      <c r="A6" s="27">
        <v>5</v>
      </c>
      <c r="B6" s="27">
        <f t="shared" si="0"/>
        <v>3</v>
      </c>
      <c r="C6" s="55">
        <f t="shared" si="1"/>
        <v>45000</v>
      </c>
      <c r="D6" s="29">
        <v>46.160000000000004</v>
      </c>
      <c r="E6" s="29">
        <v>10.8</v>
      </c>
      <c r="F6" s="29">
        <v>58.4</v>
      </c>
      <c r="G6" s="29">
        <v>0.12000000000000455</v>
      </c>
      <c r="H6" s="29">
        <v>137</v>
      </c>
      <c r="J6" s="68" t="s">
        <v>60</v>
      </c>
      <c r="K6" s="61">
        <f>COUNTBLANK(E2:E201)</f>
        <v>0</v>
      </c>
      <c r="L6" s="62">
        <f>AVERAGE(E2:E201)</f>
        <v>23.901500000000024</v>
      </c>
      <c r="M6" s="63">
        <f>MEDIAN(E1:E201)</f>
        <v>23.450000000000003</v>
      </c>
      <c r="N6" s="63">
        <f>_xlfn.STDEV.P(E2:E201)</f>
        <v>15.681980032827454</v>
      </c>
      <c r="O6" s="64">
        <f>N6/L6</f>
        <v>0.65610861380362895</v>
      </c>
      <c r="P6" s="58">
        <f>QUARTILE($E$2:$E$201,1)</f>
        <v>10.074999999999999</v>
      </c>
      <c r="Q6" s="58">
        <f>QUARTILE($E$2:$E$201,3)</f>
        <v>36.824999999999996</v>
      </c>
      <c r="R6" s="58">
        <f t="shared" ref="R6:R9" si="2">Q6-P6</f>
        <v>26.749999999999996</v>
      </c>
      <c r="S6" s="58">
        <f t="shared" ref="S6:S9" si="3">P6-1.5*R6</f>
        <v>-30.049999999999994</v>
      </c>
      <c r="T6" s="58">
        <f t="shared" ref="T6:T9" si="4">Q6+1.5*R6</f>
        <v>76.949999999999989</v>
      </c>
      <c r="U6" s="69">
        <v>0</v>
      </c>
    </row>
    <row r="7" spans="1:21" ht="15.75" customHeight="1" x14ac:dyDescent="0.5">
      <c r="A7" s="27">
        <v>6</v>
      </c>
      <c r="B7" s="27">
        <f t="shared" si="0"/>
        <v>4</v>
      </c>
      <c r="C7" s="55">
        <f t="shared" si="1"/>
        <v>45001</v>
      </c>
      <c r="D7" s="29">
        <v>6.74</v>
      </c>
      <c r="E7" s="29">
        <v>48.9</v>
      </c>
      <c r="F7" s="29">
        <v>75</v>
      </c>
      <c r="G7" s="29">
        <v>15.32</v>
      </c>
      <c r="H7" s="29">
        <v>86</v>
      </c>
      <c r="J7" s="68" t="s">
        <v>61</v>
      </c>
      <c r="K7" s="61">
        <f>COUNTBLANK(F2:F201)</f>
        <v>0</v>
      </c>
      <c r="L7" s="62">
        <f>AVERAGE(F2:F201)</f>
        <v>30.417249999999996</v>
      </c>
      <c r="M7" s="63">
        <f>MEDIAN(F2:F201)</f>
        <v>25.9</v>
      </c>
      <c r="N7" s="65">
        <f>_xlfn.STDEV.P(F2:F201)</f>
        <v>21.263212567424997</v>
      </c>
      <c r="O7" s="64">
        <f t="shared" ref="O7:O9" si="5">N7/L7</f>
        <v>0.69905111630489281</v>
      </c>
      <c r="P7" s="58">
        <f>QUARTILE($F$2:$F$201,1)</f>
        <v>12.75</v>
      </c>
      <c r="Q7" s="58">
        <f>QUARTILE($F$2:$F$201,3)</f>
        <v>45.1</v>
      </c>
      <c r="R7" s="58">
        <f t="shared" si="2"/>
        <v>32.35</v>
      </c>
      <c r="S7" s="58">
        <f t="shared" si="3"/>
        <v>-35.775000000000006</v>
      </c>
      <c r="T7" s="58">
        <f t="shared" si="4"/>
        <v>93.625</v>
      </c>
      <c r="U7" s="69">
        <v>0</v>
      </c>
    </row>
    <row r="8" spans="1:21" ht="15.75" customHeight="1" x14ac:dyDescent="0.5">
      <c r="A8" s="27">
        <v>7</v>
      </c>
      <c r="B8" s="27">
        <f t="shared" si="0"/>
        <v>5</v>
      </c>
      <c r="C8" s="55">
        <f t="shared" si="1"/>
        <v>45002</v>
      </c>
      <c r="D8" s="29">
        <v>13.5</v>
      </c>
      <c r="E8" s="29">
        <v>32.799999999999997</v>
      </c>
      <c r="F8" s="29">
        <v>23.5</v>
      </c>
      <c r="G8" s="29">
        <v>12.749999999999998</v>
      </c>
      <c r="H8" s="29">
        <v>123</v>
      </c>
      <c r="J8" s="68" t="s">
        <v>8</v>
      </c>
      <c r="K8" s="61">
        <f>COUNTBLANK(G2:G201)</f>
        <v>0</v>
      </c>
      <c r="L8" s="62">
        <f>AVERAGE(G2:G201)</f>
        <v>17.960806250000005</v>
      </c>
      <c r="M8" s="63">
        <f>MEDIAN(G2:G201)</f>
        <v>17.100000000000001</v>
      </c>
      <c r="N8" s="65">
        <f>_xlfn.STDEV.P(G2:G201)</f>
        <v>9.8262335722874212</v>
      </c>
      <c r="O8" s="64">
        <f>N8/L8</f>
        <v>0.54709312240854546</v>
      </c>
      <c r="P8" s="58">
        <f>QUARTILE($G$2:$G$201,1)</f>
        <v>11.175000000000001</v>
      </c>
      <c r="Q8" s="58">
        <f>QUARTILE($G$2:$G$201,3)</f>
        <v>23.407499999999999</v>
      </c>
      <c r="R8" s="58">
        <f t="shared" si="2"/>
        <v>12.232499999999998</v>
      </c>
      <c r="S8" s="58">
        <f t="shared" si="3"/>
        <v>-7.1737499999999947</v>
      </c>
      <c r="T8" s="58">
        <f t="shared" si="4"/>
        <v>41.756249999999994</v>
      </c>
      <c r="U8" s="69">
        <v>0</v>
      </c>
    </row>
    <row r="9" spans="1:21" ht="15.75" customHeight="1" thickBot="1" x14ac:dyDescent="0.55000000000000004">
      <c r="A9" s="27">
        <v>8</v>
      </c>
      <c r="B9" s="27">
        <f t="shared" si="0"/>
        <v>6</v>
      </c>
      <c r="C9" s="55">
        <f t="shared" si="1"/>
        <v>45003</v>
      </c>
      <c r="D9" s="29">
        <v>31.04</v>
      </c>
      <c r="E9" s="29">
        <v>19.600000000000001</v>
      </c>
      <c r="F9" s="29">
        <v>11.6</v>
      </c>
      <c r="G9" s="29">
        <v>17.18</v>
      </c>
      <c r="H9" s="29">
        <v>152</v>
      </c>
      <c r="J9" s="70" t="s">
        <v>5</v>
      </c>
      <c r="K9" s="71">
        <f>COUNTBLANK(H2:H201)</f>
        <v>0</v>
      </c>
      <c r="L9" s="72">
        <f>AVERAGE(H2:H201)</f>
        <v>151.51606646825397</v>
      </c>
      <c r="M9" s="73">
        <f>MEDIAN(H2:H201)</f>
        <v>139.86111111111111</v>
      </c>
      <c r="N9" s="74">
        <f>_xlfn.STDEV.P(H2:H201)</f>
        <v>52.772153433673211</v>
      </c>
      <c r="O9" s="75">
        <f t="shared" si="5"/>
        <v>0.34829410942192174</v>
      </c>
      <c r="P9" s="76">
        <f>QUARTILE($H$2:$H$201,1)</f>
        <v>115.5</v>
      </c>
      <c r="Q9" s="76">
        <f>QUARTILE($H$2:$H$201,3)</f>
        <v>186</v>
      </c>
      <c r="R9" s="76">
        <f t="shared" si="2"/>
        <v>70.5</v>
      </c>
      <c r="S9" s="76">
        <f t="shared" si="3"/>
        <v>9.75</v>
      </c>
      <c r="T9" s="76">
        <f t="shared" si="4"/>
        <v>291.75</v>
      </c>
      <c r="U9" s="77">
        <v>0</v>
      </c>
    </row>
    <row r="10" spans="1:21" ht="15.75" customHeight="1" x14ac:dyDescent="0.5">
      <c r="A10" s="27">
        <v>9</v>
      </c>
      <c r="B10" s="27">
        <f t="shared" si="0"/>
        <v>7</v>
      </c>
      <c r="C10" s="55">
        <f t="shared" si="1"/>
        <v>45004</v>
      </c>
      <c r="D10" s="29">
        <v>9.7200000000000006</v>
      </c>
      <c r="E10" s="29">
        <v>2.1</v>
      </c>
      <c r="F10" s="29">
        <v>1</v>
      </c>
      <c r="G10" s="29">
        <v>1.5100000000000002</v>
      </c>
      <c r="H10" s="29">
        <v>54</v>
      </c>
    </row>
    <row r="11" spans="1:21" ht="15.75" customHeight="1" x14ac:dyDescent="0.5">
      <c r="A11" s="27">
        <v>10</v>
      </c>
      <c r="B11" s="27">
        <f t="shared" si="0"/>
        <v>1</v>
      </c>
      <c r="C11" s="55">
        <f t="shared" si="1"/>
        <v>45005</v>
      </c>
      <c r="D11" s="29">
        <v>40.96</v>
      </c>
      <c r="E11" s="29">
        <v>2.6</v>
      </c>
      <c r="F11" s="29">
        <v>21.2</v>
      </c>
      <c r="G11" s="29">
        <v>12.8</v>
      </c>
      <c r="H11" s="29">
        <v>119</v>
      </c>
    </row>
    <row r="12" spans="1:21" ht="15.75" customHeight="1" x14ac:dyDescent="0.5">
      <c r="A12" s="27">
        <v>11</v>
      </c>
      <c r="B12" s="27">
        <f t="shared" si="0"/>
        <v>2</v>
      </c>
      <c r="C12" s="55">
        <f t="shared" si="1"/>
        <v>45006</v>
      </c>
      <c r="D12" s="29">
        <v>23.22</v>
      </c>
      <c r="E12" s="29">
        <v>5.8</v>
      </c>
      <c r="F12" s="29">
        <v>24.2</v>
      </c>
      <c r="G12" s="29">
        <v>19.829999999999998</v>
      </c>
      <c r="H12" s="29">
        <v>95</v>
      </c>
    </row>
    <row r="13" spans="1:21" ht="15.75" customHeight="1" x14ac:dyDescent="0.5">
      <c r="A13" s="27">
        <v>12</v>
      </c>
      <c r="B13" s="27">
        <f t="shared" si="0"/>
        <v>3</v>
      </c>
      <c r="C13" s="55">
        <f t="shared" si="1"/>
        <v>45007</v>
      </c>
      <c r="D13" s="29">
        <v>50.94</v>
      </c>
      <c r="E13" s="29">
        <v>24</v>
      </c>
      <c r="F13" s="29">
        <v>4</v>
      </c>
      <c r="G13" s="29">
        <v>31.869999999999997</v>
      </c>
      <c r="H13" s="29">
        <v>151.5</v>
      </c>
    </row>
    <row r="14" spans="1:21" ht="15.75" customHeight="1" x14ac:dyDescent="0.5">
      <c r="A14" s="27">
        <v>13</v>
      </c>
      <c r="B14" s="27">
        <f t="shared" si="0"/>
        <v>4</v>
      </c>
      <c r="C14" s="55">
        <f t="shared" si="1"/>
        <v>45008</v>
      </c>
      <c r="D14" s="29">
        <v>10.76</v>
      </c>
      <c r="E14" s="29">
        <v>35.1</v>
      </c>
      <c r="F14" s="29">
        <v>65.900000000000006</v>
      </c>
      <c r="G14" s="29">
        <v>17.100000000000001</v>
      </c>
      <c r="H14" s="29">
        <v>95</v>
      </c>
    </row>
    <row r="15" spans="1:21" ht="15.75" customHeight="1" x14ac:dyDescent="0.5">
      <c r="A15" s="27">
        <v>14</v>
      </c>
      <c r="B15" s="27">
        <f t="shared" si="0"/>
        <v>5</v>
      </c>
      <c r="C15" s="55">
        <f t="shared" si="1"/>
        <v>45009</v>
      </c>
      <c r="D15" s="29">
        <v>26.5</v>
      </c>
      <c r="E15" s="29">
        <v>7.6</v>
      </c>
      <c r="F15" s="29">
        <v>7.2</v>
      </c>
      <c r="G15" s="29">
        <v>17.100000000000001</v>
      </c>
      <c r="H15" s="29">
        <v>113</v>
      </c>
    </row>
    <row r="16" spans="1:21" ht="15.75" customHeight="1" x14ac:dyDescent="0.5">
      <c r="A16" s="27">
        <v>15</v>
      </c>
      <c r="B16" s="27">
        <f t="shared" si="0"/>
        <v>6</v>
      </c>
      <c r="C16" s="55">
        <f t="shared" si="1"/>
        <v>45010</v>
      </c>
      <c r="D16" s="29">
        <v>44.82</v>
      </c>
      <c r="E16" s="29">
        <v>32.9</v>
      </c>
      <c r="F16" s="29">
        <v>46</v>
      </c>
      <c r="G16" s="29">
        <v>18.459999999999997</v>
      </c>
      <c r="H16" s="29">
        <v>191</v>
      </c>
    </row>
    <row r="17" spans="1:8" ht="15.75" customHeight="1" x14ac:dyDescent="0.5">
      <c r="A17" s="27">
        <v>16</v>
      </c>
      <c r="B17" s="27">
        <f t="shared" si="0"/>
        <v>7</v>
      </c>
      <c r="C17" s="55">
        <f t="shared" si="1"/>
        <v>45011</v>
      </c>
      <c r="D17" s="29">
        <v>42.08</v>
      </c>
      <c r="E17" s="29">
        <v>47.7</v>
      </c>
      <c r="F17" s="29">
        <v>52.9</v>
      </c>
      <c r="G17" s="29">
        <v>22.23</v>
      </c>
      <c r="H17" s="29">
        <v>240</v>
      </c>
    </row>
    <row r="18" spans="1:8" ht="15.75" customHeight="1" x14ac:dyDescent="0.5">
      <c r="A18" s="27">
        <v>17</v>
      </c>
      <c r="B18" s="27">
        <f t="shared" si="0"/>
        <v>1</v>
      </c>
      <c r="C18" s="55">
        <f t="shared" si="1"/>
        <v>45012</v>
      </c>
      <c r="D18" s="29">
        <v>89.06</v>
      </c>
      <c r="E18" s="29">
        <v>36.6</v>
      </c>
      <c r="F18" s="29">
        <v>93.625</v>
      </c>
      <c r="G18" s="29">
        <v>23.379999999999995</v>
      </c>
      <c r="H18" s="29">
        <v>135</v>
      </c>
    </row>
    <row r="19" spans="1:8" ht="15.75" customHeight="1" x14ac:dyDescent="0.5">
      <c r="A19" s="27">
        <v>18</v>
      </c>
      <c r="B19" s="27">
        <f t="shared" si="0"/>
        <v>2</v>
      </c>
      <c r="C19" s="55">
        <f t="shared" si="1"/>
        <v>45013</v>
      </c>
      <c r="D19" s="29">
        <v>62.279999999999994</v>
      </c>
      <c r="E19" s="29">
        <v>39.6</v>
      </c>
      <c r="F19" s="29">
        <v>55.8</v>
      </c>
      <c r="G19" s="29">
        <v>25.619999999999997</v>
      </c>
      <c r="H19" s="29">
        <v>258</v>
      </c>
    </row>
    <row r="20" spans="1:8" ht="15.75" customHeight="1" x14ac:dyDescent="0.5">
      <c r="A20" s="27">
        <v>19</v>
      </c>
      <c r="B20" s="27">
        <f t="shared" si="0"/>
        <v>3</v>
      </c>
      <c r="C20" s="55">
        <f t="shared" si="1"/>
        <v>45014</v>
      </c>
      <c r="D20" s="29">
        <v>14.84</v>
      </c>
      <c r="E20" s="29">
        <v>20.5</v>
      </c>
      <c r="F20" s="29">
        <v>18.3</v>
      </c>
      <c r="G20" s="29">
        <v>9.8500000000000014</v>
      </c>
      <c r="H20" s="29">
        <v>127</v>
      </c>
    </row>
    <row r="21" spans="1:8" ht="15.75" customHeight="1" x14ac:dyDescent="0.5">
      <c r="A21" s="27">
        <v>20</v>
      </c>
      <c r="B21" s="27">
        <f t="shared" si="0"/>
        <v>4</v>
      </c>
      <c r="C21" s="55">
        <f t="shared" si="1"/>
        <v>45015</v>
      </c>
      <c r="D21" s="29">
        <v>32.46</v>
      </c>
      <c r="E21" s="29">
        <v>23.9</v>
      </c>
      <c r="F21" s="29">
        <v>19.100000000000001</v>
      </c>
      <c r="G21" s="29">
        <v>19.04</v>
      </c>
      <c r="H21" s="29">
        <v>148</v>
      </c>
    </row>
    <row r="22" spans="1:8" ht="15.75" customHeight="1" x14ac:dyDescent="0.5">
      <c r="A22" s="27">
        <v>21</v>
      </c>
      <c r="B22" s="27">
        <f t="shared" si="0"/>
        <v>5</v>
      </c>
      <c r="C22" s="55">
        <f t="shared" si="1"/>
        <v>45016</v>
      </c>
      <c r="D22" s="29">
        <v>46.68</v>
      </c>
      <c r="E22" s="29">
        <v>27.7</v>
      </c>
      <c r="F22" s="29">
        <v>53.4</v>
      </c>
      <c r="G22" s="29">
        <v>14.329999999999998</v>
      </c>
      <c r="H22" s="29">
        <v>188</v>
      </c>
    </row>
    <row r="23" spans="1:8" ht="15.75" customHeight="1" x14ac:dyDescent="0.5">
      <c r="A23" s="27">
        <v>22</v>
      </c>
      <c r="B23" s="27">
        <f t="shared" si="0"/>
        <v>6</v>
      </c>
      <c r="C23" s="55">
        <f t="shared" si="1"/>
        <v>45017</v>
      </c>
      <c r="D23" s="29">
        <v>48.480000000000004</v>
      </c>
      <c r="E23" s="29">
        <v>76.949999999999989</v>
      </c>
      <c r="F23" s="29">
        <v>23.5</v>
      </c>
      <c r="G23" s="29">
        <v>16.89</v>
      </c>
      <c r="H23" s="29">
        <v>127</v>
      </c>
    </row>
    <row r="24" spans="1:8" ht="15.75" customHeight="1" x14ac:dyDescent="0.5">
      <c r="A24" s="27">
        <v>23</v>
      </c>
      <c r="B24" s="27">
        <f t="shared" si="0"/>
        <v>7</v>
      </c>
      <c r="C24" s="55">
        <f t="shared" si="1"/>
        <v>45018</v>
      </c>
      <c r="D24" s="29">
        <v>11.64</v>
      </c>
      <c r="E24" s="29">
        <v>15.9</v>
      </c>
      <c r="F24" s="29">
        <v>49.6</v>
      </c>
      <c r="G24" s="29">
        <v>9.4299999999999962</v>
      </c>
      <c r="H24" s="29">
        <v>170.89285714285714</v>
      </c>
    </row>
    <row r="25" spans="1:8" ht="15.75" customHeight="1" x14ac:dyDescent="0.5">
      <c r="A25" s="27">
        <v>24</v>
      </c>
      <c r="B25" s="27">
        <f t="shared" si="0"/>
        <v>1</v>
      </c>
      <c r="C25" s="55">
        <f t="shared" si="1"/>
        <v>45019</v>
      </c>
      <c r="D25" s="29">
        <v>49.660000000000004</v>
      </c>
      <c r="E25" s="29">
        <v>16.899999999999999</v>
      </c>
      <c r="F25" s="29">
        <v>26.2</v>
      </c>
      <c r="G25" s="29">
        <v>20.8</v>
      </c>
      <c r="H25" s="29">
        <v>175</v>
      </c>
    </row>
    <row r="26" spans="1:8" ht="15.75" customHeight="1" x14ac:dyDescent="0.5">
      <c r="A26" s="27">
        <v>25</v>
      </c>
      <c r="B26" s="27">
        <f t="shared" si="0"/>
        <v>2</v>
      </c>
      <c r="C26" s="55">
        <f t="shared" si="1"/>
        <v>45020</v>
      </c>
      <c r="D26" s="29">
        <v>20.46</v>
      </c>
      <c r="E26" s="29">
        <v>12.6</v>
      </c>
      <c r="F26" s="29">
        <v>18.3</v>
      </c>
      <c r="G26" s="29">
        <v>5.2099999999999991</v>
      </c>
      <c r="H26" s="29">
        <v>110</v>
      </c>
    </row>
    <row r="27" spans="1:8" ht="15.75" customHeight="1" x14ac:dyDescent="0.5">
      <c r="A27" s="27">
        <v>26</v>
      </c>
      <c r="B27" s="27">
        <f t="shared" si="0"/>
        <v>3</v>
      </c>
      <c r="C27" s="55">
        <f t="shared" si="1"/>
        <v>45021</v>
      </c>
      <c r="D27" s="29">
        <v>59.58</v>
      </c>
      <c r="E27" s="29">
        <v>3.5</v>
      </c>
      <c r="F27" s="29">
        <v>19.5</v>
      </c>
      <c r="G27" s="29">
        <v>20.239999999999998</v>
      </c>
      <c r="H27" s="29">
        <v>139</v>
      </c>
    </row>
    <row r="28" spans="1:8" ht="15.75" customHeight="1" x14ac:dyDescent="0.5">
      <c r="A28" s="27">
        <v>27</v>
      </c>
      <c r="B28" s="27">
        <f t="shared" si="0"/>
        <v>4</v>
      </c>
      <c r="C28" s="55">
        <f t="shared" si="1"/>
        <v>45022</v>
      </c>
      <c r="D28" s="29">
        <v>38.58</v>
      </c>
      <c r="E28" s="29">
        <v>29.3</v>
      </c>
      <c r="F28" s="29">
        <v>12.6</v>
      </c>
      <c r="G28" s="29">
        <v>23.900000000000002</v>
      </c>
      <c r="H28" s="29">
        <v>167</v>
      </c>
    </row>
    <row r="29" spans="1:8" ht="15.75" customHeight="1" x14ac:dyDescent="0.5">
      <c r="A29" s="27">
        <v>28</v>
      </c>
      <c r="B29" s="27">
        <f t="shared" si="0"/>
        <v>5</v>
      </c>
      <c r="C29" s="55">
        <f t="shared" si="1"/>
        <v>45023</v>
      </c>
      <c r="D29" s="29">
        <v>49.019999999999996</v>
      </c>
      <c r="E29" s="29">
        <v>16.7</v>
      </c>
      <c r="F29" s="29">
        <v>22.9</v>
      </c>
      <c r="G29" s="29">
        <v>23.2</v>
      </c>
      <c r="H29" s="29">
        <v>168</v>
      </c>
    </row>
    <row r="30" spans="1:8" ht="15.75" customHeight="1" x14ac:dyDescent="0.5">
      <c r="A30" s="27">
        <v>29</v>
      </c>
      <c r="B30" s="27">
        <f t="shared" si="0"/>
        <v>6</v>
      </c>
      <c r="C30" s="55">
        <f t="shared" si="1"/>
        <v>45024</v>
      </c>
      <c r="D30" s="29">
        <v>52.760000000000005</v>
      </c>
      <c r="E30" s="29">
        <v>27.1</v>
      </c>
      <c r="F30" s="29">
        <v>22.9</v>
      </c>
      <c r="G30" s="29">
        <v>29.270000000000007</v>
      </c>
      <c r="H30" s="29">
        <v>199</v>
      </c>
    </row>
    <row r="31" spans="1:8" ht="15.75" customHeight="1" x14ac:dyDescent="0.5">
      <c r="A31" s="27">
        <v>30</v>
      </c>
      <c r="B31" s="27">
        <f t="shared" si="0"/>
        <v>7</v>
      </c>
      <c r="C31" s="55">
        <f t="shared" si="1"/>
        <v>45025</v>
      </c>
      <c r="D31" s="29">
        <v>15.12</v>
      </c>
      <c r="E31" s="29">
        <v>16</v>
      </c>
      <c r="F31" s="29">
        <v>40.799999999999997</v>
      </c>
      <c r="G31" s="29">
        <v>18.739999999999998</v>
      </c>
      <c r="H31" s="29">
        <v>123</v>
      </c>
    </row>
    <row r="32" spans="1:8" ht="15.75" customHeight="1" x14ac:dyDescent="0.5">
      <c r="A32" s="27">
        <v>31</v>
      </c>
      <c r="B32" s="27">
        <f t="shared" si="0"/>
        <v>1</v>
      </c>
      <c r="C32" s="55">
        <f t="shared" si="1"/>
        <v>45026</v>
      </c>
      <c r="D32" s="29">
        <v>59.58</v>
      </c>
      <c r="E32" s="29">
        <v>28.3</v>
      </c>
      <c r="F32" s="29">
        <v>43.2</v>
      </c>
      <c r="G32" s="29">
        <v>26.159999999999997</v>
      </c>
      <c r="H32" s="29">
        <v>231</v>
      </c>
    </row>
    <row r="33" spans="1:8" ht="15.75" customHeight="1" x14ac:dyDescent="0.5">
      <c r="A33" s="27">
        <v>32</v>
      </c>
      <c r="B33" s="27">
        <f t="shared" si="0"/>
        <v>2</v>
      </c>
      <c r="C33" s="55">
        <f t="shared" si="1"/>
        <v>45027</v>
      </c>
      <c r="D33" s="29">
        <v>92.987500000000011</v>
      </c>
      <c r="E33" s="29">
        <v>17.399999999999999</v>
      </c>
      <c r="F33" s="29">
        <v>38.6</v>
      </c>
      <c r="G33" s="29">
        <v>37.253750000000011</v>
      </c>
      <c r="H33" s="29">
        <v>126</v>
      </c>
    </row>
    <row r="34" spans="1:8" ht="15.75" customHeight="1" x14ac:dyDescent="0.5">
      <c r="A34" s="27">
        <v>33</v>
      </c>
      <c r="B34" s="27">
        <f t="shared" ref="B34:B65" si="6">WEEKDAY(C34,2)</f>
        <v>3</v>
      </c>
      <c r="C34" s="55">
        <f t="shared" ref="C34:C65" si="7">+C35-1</f>
        <v>45028</v>
      </c>
      <c r="D34" s="29">
        <v>20.440000000000001</v>
      </c>
      <c r="E34" s="29">
        <v>1.5</v>
      </c>
      <c r="F34" s="29">
        <v>30</v>
      </c>
      <c r="G34" s="29">
        <v>18.47</v>
      </c>
      <c r="H34" s="29">
        <v>112</v>
      </c>
    </row>
    <row r="35" spans="1:8" ht="15.75" customHeight="1" x14ac:dyDescent="0.5">
      <c r="A35" s="27">
        <v>34</v>
      </c>
      <c r="B35" s="27">
        <f t="shared" si="6"/>
        <v>4</v>
      </c>
      <c r="C35" s="55">
        <f t="shared" si="7"/>
        <v>45029</v>
      </c>
      <c r="D35" s="29">
        <v>61.120000000000005</v>
      </c>
      <c r="E35" s="29">
        <v>20</v>
      </c>
      <c r="F35" s="29">
        <v>0.3</v>
      </c>
      <c r="G35" s="29">
        <v>36.440000000000005</v>
      </c>
      <c r="H35" s="29">
        <v>184</v>
      </c>
    </row>
    <row r="36" spans="1:8" ht="15.75" customHeight="1" x14ac:dyDescent="0.5">
      <c r="A36" s="27">
        <v>35</v>
      </c>
      <c r="B36" s="27">
        <f t="shared" si="6"/>
        <v>5</v>
      </c>
      <c r="C36" s="55">
        <f t="shared" si="7"/>
        <v>45030</v>
      </c>
      <c r="D36" s="29">
        <v>24.14</v>
      </c>
      <c r="E36" s="29">
        <v>1.4</v>
      </c>
      <c r="F36" s="29">
        <v>7.4</v>
      </c>
      <c r="G36" s="29">
        <v>7.3099999999999987</v>
      </c>
      <c r="H36" s="29">
        <v>91.5</v>
      </c>
    </row>
    <row r="37" spans="1:8" ht="15.75" customHeight="1" x14ac:dyDescent="0.5">
      <c r="A37" s="27">
        <v>36</v>
      </c>
      <c r="B37" s="27">
        <f t="shared" si="6"/>
        <v>6</v>
      </c>
      <c r="C37" s="55">
        <f t="shared" si="7"/>
        <v>45031</v>
      </c>
      <c r="D37" s="29">
        <v>62.14</v>
      </c>
      <c r="E37" s="29">
        <v>4.0999999999999996</v>
      </c>
      <c r="F37" s="29">
        <v>8.5</v>
      </c>
      <c r="G37" s="29">
        <v>27.72</v>
      </c>
      <c r="H37" s="29">
        <v>129</v>
      </c>
    </row>
    <row r="38" spans="1:8" ht="15.75" customHeight="1" x14ac:dyDescent="0.5">
      <c r="A38" s="27">
        <v>37</v>
      </c>
      <c r="B38" s="27">
        <f t="shared" si="6"/>
        <v>7</v>
      </c>
      <c r="C38" s="55">
        <f t="shared" si="7"/>
        <v>45032</v>
      </c>
      <c r="D38" s="29">
        <v>56.379999999999995</v>
      </c>
      <c r="E38" s="29">
        <v>43.8</v>
      </c>
      <c r="F38" s="29">
        <v>5</v>
      </c>
      <c r="G38" s="29">
        <v>41.756249999999994</v>
      </c>
      <c r="H38" s="29">
        <v>256</v>
      </c>
    </row>
    <row r="39" spans="1:8" ht="15.75" customHeight="1" x14ac:dyDescent="0.5">
      <c r="A39" s="27">
        <v>38</v>
      </c>
      <c r="B39" s="27">
        <f t="shared" si="6"/>
        <v>1</v>
      </c>
      <c r="C39" s="55">
        <f t="shared" si="7"/>
        <v>45033</v>
      </c>
      <c r="D39" s="29">
        <v>24.94</v>
      </c>
      <c r="E39" s="29">
        <v>49.4</v>
      </c>
      <c r="F39" s="29">
        <v>45.7</v>
      </c>
      <c r="G39" s="29">
        <v>13.89</v>
      </c>
      <c r="H39" s="29">
        <v>152</v>
      </c>
    </row>
    <row r="40" spans="1:8" ht="15.75" customHeight="1" x14ac:dyDescent="0.5">
      <c r="A40" s="27">
        <v>39</v>
      </c>
      <c r="B40" s="27">
        <f t="shared" si="6"/>
        <v>2</v>
      </c>
      <c r="C40" s="55">
        <f t="shared" si="7"/>
        <v>45034</v>
      </c>
      <c r="D40" s="29">
        <v>14.620000000000001</v>
      </c>
      <c r="E40" s="29">
        <v>26.7</v>
      </c>
      <c r="F40" s="29">
        <v>35.1</v>
      </c>
      <c r="G40" s="29">
        <v>3.6199999999999992</v>
      </c>
      <c r="H40" s="29">
        <v>114</v>
      </c>
    </row>
    <row r="41" spans="1:8" ht="15.75" customHeight="1" x14ac:dyDescent="0.5">
      <c r="A41" s="27">
        <v>40</v>
      </c>
      <c r="B41" s="27">
        <f t="shared" si="6"/>
        <v>3</v>
      </c>
      <c r="C41" s="55">
        <f t="shared" si="7"/>
        <v>45035</v>
      </c>
      <c r="D41" s="29">
        <v>53.6</v>
      </c>
      <c r="E41" s="29">
        <v>37.700000000000003</v>
      </c>
      <c r="F41" s="29">
        <v>32</v>
      </c>
      <c r="G41" s="29">
        <v>28.850000000000005</v>
      </c>
      <c r="H41" s="29">
        <v>230</v>
      </c>
    </row>
    <row r="42" spans="1:8" ht="15.75" customHeight="1" x14ac:dyDescent="0.5">
      <c r="A42" s="27">
        <v>41</v>
      </c>
      <c r="B42" s="27">
        <f t="shared" si="6"/>
        <v>4</v>
      </c>
      <c r="C42" s="55">
        <f t="shared" si="7"/>
        <v>45036</v>
      </c>
      <c r="D42" s="29">
        <v>45.5</v>
      </c>
      <c r="E42" s="29">
        <v>22.3</v>
      </c>
      <c r="F42" s="29">
        <v>31.6</v>
      </c>
      <c r="G42" s="29">
        <v>18.759999999999998</v>
      </c>
      <c r="H42" s="29">
        <v>179</v>
      </c>
    </row>
    <row r="43" spans="1:8" ht="15.75" customHeight="1" x14ac:dyDescent="0.5">
      <c r="A43" s="27">
        <v>42</v>
      </c>
      <c r="B43" s="27">
        <f t="shared" si="6"/>
        <v>5</v>
      </c>
      <c r="C43" s="55">
        <f t="shared" si="7"/>
        <v>45037</v>
      </c>
      <c r="D43" s="29">
        <v>40.4</v>
      </c>
      <c r="E43" s="29">
        <v>33.4</v>
      </c>
      <c r="F43" s="29">
        <v>38.700000000000003</v>
      </c>
      <c r="G43" s="29">
        <v>18.919999999999995</v>
      </c>
      <c r="H43" s="29">
        <v>186</v>
      </c>
    </row>
    <row r="44" spans="1:8" ht="15.75" customHeight="1" x14ac:dyDescent="0.5">
      <c r="A44" s="27">
        <v>43</v>
      </c>
      <c r="B44" s="27">
        <f t="shared" si="6"/>
        <v>6</v>
      </c>
      <c r="C44" s="55">
        <f t="shared" si="7"/>
        <v>45038</v>
      </c>
      <c r="D44" s="29">
        <v>67.72</v>
      </c>
      <c r="E44" s="29">
        <v>27.7</v>
      </c>
      <c r="F44" s="29">
        <v>1.8</v>
      </c>
      <c r="G44" s="29">
        <v>41.756249999999994</v>
      </c>
      <c r="H44" s="29">
        <v>226</v>
      </c>
    </row>
    <row r="45" spans="1:8" ht="15.75" customHeight="1" x14ac:dyDescent="0.5">
      <c r="A45" s="27">
        <v>44</v>
      </c>
      <c r="B45" s="27">
        <f t="shared" si="6"/>
        <v>7</v>
      </c>
      <c r="C45" s="55">
        <f t="shared" si="7"/>
        <v>45039</v>
      </c>
      <c r="D45" s="29">
        <v>51.38</v>
      </c>
      <c r="E45" s="29">
        <v>8.4</v>
      </c>
      <c r="F45" s="29">
        <v>26.4</v>
      </c>
      <c r="G45" s="29">
        <v>14.33</v>
      </c>
      <c r="H45" s="29">
        <v>149</v>
      </c>
    </row>
    <row r="46" spans="1:8" ht="15.75" customHeight="1" x14ac:dyDescent="0.5">
      <c r="A46" s="27">
        <v>45</v>
      </c>
      <c r="B46" s="27">
        <f t="shared" si="6"/>
        <v>1</v>
      </c>
      <c r="C46" s="55">
        <f t="shared" si="7"/>
        <v>45040</v>
      </c>
      <c r="D46" s="29">
        <v>12.02</v>
      </c>
      <c r="E46" s="29">
        <v>25.7</v>
      </c>
      <c r="F46" s="29">
        <v>43.3</v>
      </c>
      <c r="G46" s="29">
        <v>18.04</v>
      </c>
      <c r="H46" s="29">
        <v>89</v>
      </c>
    </row>
    <row r="47" spans="1:8" ht="15.75" customHeight="1" x14ac:dyDescent="0.5">
      <c r="A47" s="27">
        <v>46</v>
      </c>
      <c r="B47" s="27">
        <f t="shared" si="6"/>
        <v>2</v>
      </c>
      <c r="C47" s="55">
        <f t="shared" si="7"/>
        <v>45041</v>
      </c>
      <c r="D47" s="29">
        <v>42.019999999999996</v>
      </c>
      <c r="E47" s="29">
        <v>22.5</v>
      </c>
      <c r="F47" s="29">
        <v>31.5</v>
      </c>
      <c r="G47" s="29">
        <v>16.159999999999997</v>
      </c>
      <c r="H47" s="29">
        <v>165</v>
      </c>
    </row>
    <row r="48" spans="1:8" ht="15.75" customHeight="1" x14ac:dyDescent="0.5">
      <c r="A48" s="27">
        <v>47</v>
      </c>
      <c r="B48" s="27">
        <f t="shared" si="6"/>
        <v>3</v>
      </c>
      <c r="C48" s="55">
        <f t="shared" si="7"/>
        <v>45042</v>
      </c>
      <c r="D48" s="29">
        <v>18.940000000000001</v>
      </c>
      <c r="E48" s="29">
        <v>9.9</v>
      </c>
      <c r="F48" s="29">
        <v>35.700000000000003</v>
      </c>
      <c r="G48" s="29">
        <v>19.64</v>
      </c>
      <c r="H48" s="29">
        <v>119</v>
      </c>
    </row>
    <row r="49" spans="1:8" ht="15.75" customHeight="1" x14ac:dyDescent="0.5">
      <c r="A49" s="27">
        <v>48</v>
      </c>
      <c r="B49" s="27">
        <f t="shared" si="6"/>
        <v>4</v>
      </c>
      <c r="C49" s="55">
        <f t="shared" si="7"/>
        <v>45043</v>
      </c>
      <c r="D49" s="29">
        <v>52.980000000000004</v>
      </c>
      <c r="E49" s="29">
        <v>41.5</v>
      </c>
      <c r="F49" s="29">
        <v>18.5</v>
      </c>
      <c r="G49" s="29">
        <v>37.340000000000003</v>
      </c>
      <c r="H49" s="29">
        <v>245</v>
      </c>
    </row>
    <row r="50" spans="1:8" ht="15.75" customHeight="1" x14ac:dyDescent="0.5">
      <c r="A50" s="27">
        <v>49</v>
      </c>
      <c r="B50" s="27">
        <f t="shared" si="6"/>
        <v>5</v>
      </c>
      <c r="C50" s="55">
        <f t="shared" si="7"/>
        <v>45044</v>
      </c>
      <c r="D50" s="29">
        <v>46.44</v>
      </c>
      <c r="E50" s="29">
        <v>15.8</v>
      </c>
      <c r="F50" s="29">
        <v>49.9</v>
      </c>
      <c r="G50" s="29">
        <v>10.659999999999997</v>
      </c>
      <c r="H50" s="29">
        <v>149</v>
      </c>
    </row>
    <row r="51" spans="1:8" ht="15.75" customHeight="1" x14ac:dyDescent="0.5">
      <c r="A51" s="27">
        <v>50</v>
      </c>
      <c r="B51" s="27">
        <f t="shared" si="6"/>
        <v>6</v>
      </c>
      <c r="C51" s="55">
        <f t="shared" si="7"/>
        <v>45045</v>
      </c>
      <c r="D51" s="29">
        <v>14.38</v>
      </c>
      <c r="E51" s="29">
        <v>11.7</v>
      </c>
      <c r="F51" s="29">
        <v>36.799999999999997</v>
      </c>
      <c r="G51" s="29">
        <v>17.82</v>
      </c>
      <c r="H51" s="29">
        <v>111</v>
      </c>
    </row>
    <row r="52" spans="1:8" ht="15.75" customHeight="1" x14ac:dyDescent="0.5">
      <c r="A52" s="27">
        <v>51</v>
      </c>
      <c r="B52" s="27">
        <f t="shared" si="6"/>
        <v>7</v>
      </c>
      <c r="C52" s="55">
        <f t="shared" si="7"/>
        <v>45046</v>
      </c>
      <c r="D52" s="29">
        <v>43.96</v>
      </c>
      <c r="E52" s="29">
        <v>3.1</v>
      </c>
      <c r="F52" s="29">
        <v>34.6</v>
      </c>
      <c r="G52" s="29">
        <v>7.6899999999999995</v>
      </c>
      <c r="H52" s="29">
        <v>122</v>
      </c>
    </row>
    <row r="53" spans="1:8" ht="15.75" customHeight="1" x14ac:dyDescent="0.5">
      <c r="A53" s="27">
        <v>52</v>
      </c>
      <c r="B53" s="27">
        <f t="shared" si="6"/>
        <v>1</v>
      </c>
      <c r="C53" s="55">
        <f t="shared" si="7"/>
        <v>45047</v>
      </c>
      <c r="D53" s="29">
        <v>29.080000000000002</v>
      </c>
      <c r="E53" s="29">
        <v>9.6</v>
      </c>
      <c r="F53" s="29">
        <v>3.6</v>
      </c>
      <c r="G53" s="29">
        <v>13.4</v>
      </c>
      <c r="H53" s="29">
        <v>112</v>
      </c>
    </row>
    <row r="54" spans="1:8" ht="15.75" customHeight="1" x14ac:dyDescent="0.5">
      <c r="A54" s="27">
        <v>53</v>
      </c>
      <c r="B54" s="27">
        <f t="shared" si="6"/>
        <v>2</v>
      </c>
      <c r="C54" s="55">
        <f t="shared" si="7"/>
        <v>45048</v>
      </c>
      <c r="D54" s="29">
        <v>44.28</v>
      </c>
      <c r="E54" s="29">
        <v>41.7</v>
      </c>
      <c r="F54" s="29">
        <v>39.6</v>
      </c>
      <c r="G54" s="29">
        <v>26.65</v>
      </c>
      <c r="H54" s="29">
        <v>235</v>
      </c>
    </row>
    <row r="55" spans="1:8" ht="15.75" customHeight="1" x14ac:dyDescent="0.5">
      <c r="A55" s="27">
        <v>54</v>
      </c>
      <c r="B55" s="27">
        <f t="shared" si="6"/>
        <v>3</v>
      </c>
      <c r="C55" s="55">
        <f t="shared" si="7"/>
        <v>45049</v>
      </c>
      <c r="D55" s="29">
        <v>41.519999999999996</v>
      </c>
      <c r="E55" s="29">
        <v>46.2</v>
      </c>
      <c r="F55" s="29">
        <v>58.7</v>
      </c>
      <c r="G55" s="29">
        <v>17.879999999999995</v>
      </c>
      <c r="H55" s="29">
        <v>225</v>
      </c>
    </row>
    <row r="56" spans="1:8" ht="15.75" customHeight="1" x14ac:dyDescent="0.5">
      <c r="A56" s="27">
        <v>55</v>
      </c>
      <c r="B56" s="27">
        <f t="shared" si="6"/>
        <v>4</v>
      </c>
      <c r="C56" s="55">
        <f t="shared" si="7"/>
        <v>45050</v>
      </c>
      <c r="D56" s="29">
        <v>62.54</v>
      </c>
      <c r="E56" s="29">
        <v>28.8</v>
      </c>
      <c r="F56" s="29">
        <v>15.9</v>
      </c>
      <c r="G56" s="29">
        <v>34.31</v>
      </c>
      <c r="H56" s="29">
        <v>220</v>
      </c>
    </row>
    <row r="57" spans="1:8" ht="15.75" customHeight="1" x14ac:dyDescent="0.5">
      <c r="A57" s="27">
        <v>56</v>
      </c>
      <c r="B57" s="27">
        <f t="shared" si="6"/>
        <v>5</v>
      </c>
      <c r="C57" s="55">
        <f t="shared" si="7"/>
        <v>45051</v>
      </c>
      <c r="D57" s="29">
        <v>40.78</v>
      </c>
      <c r="E57" s="29">
        <v>49.4</v>
      </c>
      <c r="F57" s="29">
        <v>60</v>
      </c>
      <c r="G57" s="29">
        <v>20.590000000000003</v>
      </c>
      <c r="H57" s="29">
        <v>240</v>
      </c>
    </row>
    <row r="58" spans="1:8" ht="15.75" customHeight="1" x14ac:dyDescent="0.5">
      <c r="A58" s="27">
        <v>57</v>
      </c>
      <c r="B58" s="27">
        <f t="shared" si="6"/>
        <v>6</v>
      </c>
      <c r="C58" s="55">
        <f t="shared" si="7"/>
        <v>45052</v>
      </c>
      <c r="D58" s="29">
        <v>3.46</v>
      </c>
      <c r="E58" s="29">
        <v>28.1</v>
      </c>
      <c r="F58" s="29">
        <v>41.4</v>
      </c>
      <c r="G58" s="29">
        <v>18.220000000000002</v>
      </c>
      <c r="H58" s="29">
        <v>71</v>
      </c>
    </row>
    <row r="59" spans="1:8" ht="15.75" customHeight="1" x14ac:dyDescent="0.5">
      <c r="A59" s="27">
        <v>58</v>
      </c>
      <c r="B59" s="27">
        <f t="shared" si="6"/>
        <v>7</v>
      </c>
      <c r="C59" s="55">
        <f t="shared" si="7"/>
        <v>45053</v>
      </c>
      <c r="D59" s="29">
        <v>33.239999999999995</v>
      </c>
      <c r="E59" s="29">
        <v>19.2</v>
      </c>
      <c r="F59" s="29">
        <v>16.600000000000001</v>
      </c>
      <c r="G59" s="29">
        <v>16.579999999999998</v>
      </c>
      <c r="H59" s="29">
        <v>133</v>
      </c>
    </row>
    <row r="60" spans="1:8" ht="15.75" customHeight="1" x14ac:dyDescent="0.5">
      <c r="A60" s="27">
        <v>59</v>
      </c>
      <c r="B60" s="27">
        <f t="shared" si="6"/>
        <v>1</v>
      </c>
      <c r="C60" s="55">
        <f t="shared" si="7"/>
        <v>45054</v>
      </c>
      <c r="D60" s="29">
        <v>49.160000000000004</v>
      </c>
      <c r="E60" s="29">
        <v>49.6</v>
      </c>
      <c r="F60" s="29">
        <v>37.700000000000003</v>
      </c>
      <c r="G60" s="29">
        <v>30.8</v>
      </c>
      <c r="H60" s="29">
        <v>239</v>
      </c>
    </row>
    <row r="61" spans="1:8" ht="15.75" customHeight="1" x14ac:dyDescent="0.5">
      <c r="A61" s="27">
        <v>60</v>
      </c>
      <c r="B61" s="27">
        <f t="shared" si="6"/>
        <v>2</v>
      </c>
      <c r="C61" s="55">
        <f t="shared" si="7"/>
        <v>45055</v>
      </c>
      <c r="D61" s="29">
        <v>50.14</v>
      </c>
      <c r="E61" s="29">
        <v>29.5</v>
      </c>
      <c r="F61" s="29">
        <v>9.3000000000000007</v>
      </c>
      <c r="G61" s="29">
        <v>32.1</v>
      </c>
      <c r="H61" s="29">
        <v>186</v>
      </c>
    </row>
    <row r="62" spans="1:8" ht="15.75" customHeight="1" x14ac:dyDescent="0.5">
      <c r="A62" s="27">
        <v>61</v>
      </c>
      <c r="B62" s="27">
        <f t="shared" si="6"/>
        <v>3</v>
      </c>
      <c r="C62" s="55">
        <f t="shared" si="7"/>
        <v>45056</v>
      </c>
      <c r="D62" s="29">
        <v>16.7</v>
      </c>
      <c r="E62" s="29">
        <v>2</v>
      </c>
      <c r="F62" s="29">
        <v>21.4</v>
      </c>
      <c r="G62" s="29">
        <v>17.79</v>
      </c>
      <c r="H62" s="29">
        <v>83</v>
      </c>
    </row>
    <row r="63" spans="1:8" ht="15.75" customHeight="1" x14ac:dyDescent="0.5">
      <c r="A63" s="27">
        <v>62</v>
      </c>
      <c r="B63" s="27">
        <f t="shared" si="6"/>
        <v>4</v>
      </c>
      <c r="C63" s="55">
        <f t="shared" si="7"/>
        <v>45057</v>
      </c>
      <c r="D63" s="29">
        <v>61.260000000000005</v>
      </c>
      <c r="E63" s="29">
        <v>42.7</v>
      </c>
      <c r="F63" s="29">
        <v>54.7</v>
      </c>
      <c r="G63" s="29">
        <v>25.6</v>
      </c>
      <c r="H63" s="29">
        <v>240</v>
      </c>
    </row>
    <row r="64" spans="1:8" ht="15.75" customHeight="1" x14ac:dyDescent="0.5">
      <c r="A64" s="27">
        <v>63</v>
      </c>
      <c r="B64" s="27">
        <f t="shared" si="6"/>
        <v>5</v>
      </c>
      <c r="C64" s="55">
        <f t="shared" si="7"/>
        <v>45058</v>
      </c>
      <c r="D64" s="29">
        <v>53.86</v>
      </c>
      <c r="E64" s="29">
        <v>15.5</v>
      </c>
      <c r="F64" s="29">
        <v>27.3</v>
      </c>
      <c r="G64" s="29">
        <v>20.759999999999998</v>
      </c>
      <c r="H64" s="29">
        <v>170</v>
      </c>
    </row>
    <row r="65" spans="1:8" ht="15.75" customHeight="1" x14ac:dyDescent="0.5">
      <c r="A65" s="27">
        <v>64</v>
      </c>
      <c r="B65" s="27">
        <f t="shared" si="6"/>
        <v>6</v>
      </c>
      <c r="C65" s="55">
        <f t="shared" si="7"/>
        <v>45059</v>
      </c>
      <c r="D65" s="29">
        <v>27.54</v>
      </c>
      <c r="E65" s="29">
        <v>29.6</v>
      </c>
      <c r="F65" s="29">
        <v>8.4</v>
      </c>
      <c r="G65" s="29">
        <v>21.71</v>
      </c>
      <c r="H65" s="29">
        <v>291.75</v>
      </c>
    </row>
    <row r="66" spans="1:8" ht="15.75" customHeight="1" x14ac:dyDescent="0.5">
      <c r="A66" s="27">
        <v>65</v>
      </c>
      <c r="B66" s="27">
        <f t="shared" ref="B66:B97" si="8">WEEKDAY(C66,2)</f>
        <v>7</v>
      </c>
      <c r="C66" s="55">
        <f t="shared" ref="C66:C97" si="9">+C67-1</f>
        <v>45060</v>
      </c>
      <c r="D66" s="29">
        <v>27.22</v>
      </c>
      <c r="E66" s="29">
        <v>42.8</v>
      </c>
      <c r="F66" s="29">
        <v>28.9</v>
      </c>
      <c r="G66" s="29">
        <v>22.949999999999996</v>
      </c>
      <c r="H66" s="29">
        <v>187</v>
      </c>
    </row>
    <row r="67" spans="1:8" ht="15.75" customHeight="1" x14ac:dyDescent="0.5">
      <c r="A67" s="27">
        <v>66</v>
      </c>
      <c r="B67" s="27">
        <f t="shared" si="8"/>
        <v>1</v>
      </c>
      <c r="C67" s="55">
        <f t="shared" si="9"/>
        <v>45061</v>
      </c>
      <c r="D67" s="29">
        <v>21.8</v>
      </c>
      <c r="E67" s="29">
        <v>9.3000000000000007</v>
      </c>
      <c r="F67" s="29">
        <v>0.9</v>
      </c>
      <c r="G67" s="29">
        <v>11.190000000000001</v>
      </c>
      <c r="H67" s="29">
        <v>109</v>
      </c>
    </row>
    <row r="68" spans="1:8" ht="15.75" customHeight="1" x14ac:dyDescent="0.5">
      <c r="A68" s="27">
        <v>67</v>
      </c>
      <c r="B68" s="27">
        <f t="shared" si="8"/>
        <v>2</v>
      </c>
      <c r="C68" s="55">
        <f t="shared" si="9"/>
        <v>45062</v>
      </c>
      <c r="D68" s="29">
        <v>15.3</v>
      </c>
      <c r="E68" s="29">
        <v>24.6</v>
      </c>
      <c r="F68" s="29">
        <v>2.2000000000000002</v>
      </c>
      <c r="G68" s="29">
        <v>14.57</v>
      </c>
      <c r="H68" s="29">
        <v>104</v>
      </c>
    </row>
    <row r="69" spans="1:8" ht="15.75" customHeight="1" x14ac:dyDescent="0.5">
      <c r="A69" s="27">
        <v>68</v>
      </c>
      <c r="B69" s="27">
        <f t="shared" si="8"/>
        <v>3</v>
      </c>
      <c r="C69" s="55">
        <f t="shared" si="9"/>
        <v>45063</v>
      </c>
      <c r="D69" s="29">
        <v>30.860000000000003</v>
      </c>
      <c r="E69" s="29">
        <v>14.5</v>
      </c>
      <c r="F69" s="29">
        <v>10.199999999999999</v>
      </c>
      <c r="G69" s="29">
        <v>17.100000000000001</v>
      </c>
      <c r="H69" s="29">
        <v>135</v>
      </c>
    </row>
    <row r="70" spans="1:8" ht="15.75" customHeight="1" x14ac:dyDescent="0.5">
      <c r="A70" s="27">
        <v>69</v>
      </c>
      <c r="B70" s="27">
        <f t="shared" si="8"/>
        <v>4</v>
      </c>
      <c r="C70" s="55">
        <f t="shared" si="9"/>
        <v>45064</v>
      </c>
      <c r="D70" s="29">
        <v>51.480000000000004</v>
      </c>
      <c r="E70" s="29">
        <v>27.5</v>
      </c>
      <c r="F70" s="29">
        <v>11</v>
      </c>
      <c r="G70" s="29">
        <v>33.090000000000003</v>
      </c>
      <c r="H70" s="29">
        <v>196</v>
      </c>
    </row>
    <row r="71" spans="1:8" ht="15.75" customHeight="1" x14ac:dyDescent="0.5">
      <c r="A71" s="27">
        <v>70</v>
      </c>
      <c r="B71" s="27">
        <f t="shared" si="8"/>
        <v>5</v>
      </c>
      <c r="C71" s="55">
        <f t="shared" si="9"/>
        <v>45065</v>
      </c>
      <c r="D71" s="29">
        <v>48.36</v>
      </c>
      <c r="E71" s="29">
        <v>43.9</v>
      </c>
      <c r="F71" s="29">
        <v>27.2</v>
      </c>
      <c r="G71" s="29">
        <v>32.749999999999993</v>
      </c>
      <c r="H71" s="29">
        <v>229</v>
      </c>
    </row>
    <row r="72" spans="1:8" ht="15.75" customHeight="1" x14ac:dyDescent="0.5">
      <c r="A72" s="27">
        <v>71</v>
      </c>
      <c r="B72" s="27">
        <f t="shared" si="8"/>
        <v>6</v>
      </c>
      <c r="C72" s="55">
        <f t="shared" si="9"/>
        <v>45066</v>
      </c>
      <c r="D72" s="29">
        <v>44.82</v>
      </c>
      <c r="E72" s="29">
        <v>30.6</v>
      </c>
      <c r="F72" s="29">
        <v>38.700000000000003</v>
      </c>
      <c r="G72" s="29">
        <v>19.729999999999997</v>
      </c>
      <c r="H72" s="29">
        <v>196</v>
      </c>
    </row>
    <row r="73" spans="1:8" ht="15.75" customHeight="1" x14ac:dyDescent="0.5">
      <c r="A73" s="27">
        <v>72</v>
      </c>
      <c r="B73" s="27">
        <f t="shared" si="8"/>
        <v>7</v>
      </c>
      <c r="C73" s="55">
        <f t="shared" si="9"/>
        <v>45067</v>
      </c>
      <c r="D73" s="29">
        <v>29.96</v>
      </c>
      <c r="E73" s="29">
        <v>14.3</v>
      </c>
      <c r="F73" s="29">
        <v>31.7</v>
      </c>
      <c r="G73" s="29">
        <v>5.4500000000000028</v>
      </c>
      <c r="H73" s="29">
        <v>129</v>
      </c>
    </row>
    <row r="74" spans="1:8" ht="15.75" customHeight="1" x14ac:dyDescent="0.5">
      <c r="A74" s="27">
        <v>73</v>
      </c>
      <c r="B74" s="27">
        <f t="shared" si="8"/>
        <v>1</v>
      </c>
      <c r="C74" s="55">
        <f t="shared" si="9"/>
        <v>45068</v>
      </c>
      <c r="D74" s="29">
        <v>15.36</v>
      </c>
      <c r="E74" s="29">
        <v>33</v>
      </c>
      <c r="F74" s="29">
        <v>19.3</v>
      </c>
      <c r="G74" s="29">
        <v>11.459999999999999</v>
      </c>
      <c r="H74" s="29">
        <v>106</v>
      </c>
    </row>
    <row r="75" spans="1:8" ht="15.75" customHeight="1" x14ac:dyDescent="0.5">
      <c r="A75" s="27">
        <v>74</v>
      </c>
      <c r="B75" s="27">
        <f t="shared" si="8"/>
        <v>2</v>
      </c>
      <c r="C75" s="55">
        <f t="shared" si="9"/>
        <v>45069</v>
      </c>
      <c r="D75" s="29">
        <v>28.880000000000003</v>
      </c>
      <c r="E75" s="29">
        <v>5.7</v>
      </c>
      <c r="F75" s="29">
        <v>31.3</v>
      </c>
      <c r="G75" s="29">
        <v>3.2699999999999996</v>
      </c>
      <c r="H75" s="29">
        <v>117</v>
      </c>
    </row>
    <row r="76" spans="1:8" ht="15.75" customHeight="1" x14ac:dyDescent="0.5">
      <c r="A76" s="27">
        <v>75</v>
      </c>
      <c r="B76" s="27">
        <f t="shared" si="8"/>
        <v>3</v>
      </c>
      <c r="C76" s="55">
        <f t="shared" si="9"/>
        <v>45070</v>
      </c>
      <c r="D76" s="29">
        <v>50.68</v>
      </c>
      <c r="E76" s="29">
        <v>0</v>
      </c>
      <c r="F76" s="29">
        <v>13.1</v>
      </c>
      <c r="G76" s="29">
        <v>28.4</v>
      </c>
      <c r="H76" s="29">
        <v>187</v>
      </c>
    </row>
    <row r="77" spans="1:8" ht="15.75" customHeight="1" x14ac:dyDescent="0.5">
      <c r="A77" s="27">
        <v>76</v>
      </c>
      <c r="B77" s="27">
        <f t="shared" si="8"/>
        <v>4</v>
      </c>
      <c r="C77" s="55">
        <f t="shared" si="9"/>
        <v>45071</v>
      </c>
      <c r="D77" s="29">
        <v>12.379999999999999</v>
      </c>
      <c r="E77" s="29">
        <v>43.7</v>
      </c>
      <c r="F77" s="29">
        <v>89.4</v>
      </c>
      <c r="G77" s="29">
        <v>7.7799999999999976</v>
      </c>
      <c r="H77" s="29">
        <v>105</v>
      </c>
    </row>
    <row r="78" spans="1:8" ht="15.75" customHeight="1" x14ac:dyDescent="0.5">
      <c r="A78" s="27">
        <v>77</v>
      </c>
      <c r="B78" s="27">
        <f t="shared" si="8"/>
        <v>5</v>
      </c>
      <c r="C78" s="55">
        <f t="shared" si="9"/>
        <v>45072</v>
      </c>
      <c r="D78" s="29">
        <v>13.5</v>
      </c>
      <c r="E78" s="29">
        <v>1.6</v>
      </c>
      <c r="F78" s="29">
        <v>20.7</v>
      </c>
      <c r="G78" s="29">
        <v>15.27</v>
      </c>
      <c r="H78" s="29">
        <v>83</v>
      </c>
    </row>
    <row r="79" spans="1:8" ht="15.75" customHeight="1" x14ac:dyDescent="0.5">
      <c r="A79" s="27">
        <v>78</v>
      </c>
      <c r="B79" s="27">
        <f t="shared" si="8"/>
        <v>6</v>
      </c>
      <c r="C79" s="55">
        <f t="shared" si="9"/>
        <v>45073</v>
      </c>
      <c r="D79" s="29">
        <v>25.1</v>
      </c>
      <c r="E79" s="29">
        <v>28.5</v>
      </c>
      <c r="F79" s="29">
        <v>14.2</v>
      </c>
      <c r="G79" s="29">
        <v>20.62</v>
      </c>
      <c r="H79" s="29">
        <v>149</v>
      </c>
    </row>
    <row r="80" spans="1:8" ht="15.75" customHeight="1" x14ac:dyDescent="0.5">
      <c r="A80" s="27">
        <v>79</v>
      </c>
      <c r="B80" s="27">
        <f t="shared" si="8"/>
        <v>7</v>
      </c>
      <c r="C80" s="55">
        <f t="shared" si="9"/>
        <v>45074</v>
      </c>
      <c r="D80" s="29">
        <v>8.08</v>
      </c>
      <c r="E80" s="29">
        <v>29.9</v>
      </c>
      <c r="F80" s="29">
        <v>9.4</v>
      </c>
      <c r="G80" s="29">
        <v>11.729999999999999</v>
      </c>
      <c r="H80" s="29">
        <v>62</v>
      </c>
    </row>
    <row r="81" spans="1:8" ht="15.75" customHeight="1" x14ac:dyDescent="0.5">
      <c r="A81" s="27">
        <v>80</v>
      </c>
      <c r="B81" s="27">
        <f t="shared" si="8"/>
        <v>1</v>
      </c>
      <c r="C81" s="55">
        <f t="shared" si="9"/>
        <v>45075</v>
      </c>
      <c r="D81" s="29">
        <v>31.2</v>
      </c>
      <c r="E81" s="29">
        <v>7.7</v>
      </c>
      <c r="F81" s="29">
        <v>23.1</v>
      </c>
      <c r="G81" s="29">
        <v>6.2099999999999991</v>
      </c>
      <c r="H81" s="29">
        <v>120</v>
      </c>
    </row>
    <row r="82" spans="1:8" ht="15.75" customHeight="1" x14ac:dyDescent="0.5">
      <c r="A82" s="27">
        <v>81</v>
      </c>
      <c r="B82" s="27">
        <f t="shared" si="8"/>
        <v>2</v>
      </c>
      <c r="C82" s="55">
        <f t="shared" si="9"/>
        <v>45076</v>
      </c>
      <c r="D82" s="29">
        <v>19.28</v>
      </c>
      <c r="E82" s="29">
        <v>26.7</v>
      </c>
      <c r="F82" s="29">
        <v>22.3</v>
      </c>
      <c r="G82" s="29">
        <v>12.070000000000002</v>
      </c>
      <c r="H82" s="29">
        <v>120</v>
      </c>
    </row>
    <row r="83" spans="1:8" ht="15.75" customHeight="1" x14ac:dyDescent="0.5">
      <c r="A83" s="27">
        <v>82</v>
      </c>
      <c r="B83" s="27">
        <f t="shared" si="8"/>
        <v>3</v>
      </c>
      <c r="C83" s="55">
        <f t="shared" si="9"/>
        <v>45077</v>
      </c>
      <c r="D83" s="29">
        <v>96.179999999999993</v>
      </c>
      <c r="E83" s="29">
        <v>4.0999999999999996</v>
      </c>
      <c r="F83" s="29">
        <v>36.9</v>
      </c>
      <c r="G83" s="29">
        <v>11.270000000000001</v>
      </c>
      <c r="H83" s="29">
        <v>128</v>
      </c>
    </row>
    <row r="84" spans="1:8" ht="15.75" customHeight="1" x14ac:dyDescent="0.5">
      <c r="A84" s="27">
        <v>83</v>
      </c>
      <c r="B84" s="27">
        <f t="shared" si="8"/>
        <v>4</v>
      </c>
      <c r="C84" s="55">
        <f t="shared" si="9"/>
        <v>45078</v>
      </c>
      <c r="D84" s="29">
        <v>18.059999999999999</v>
      </c>
      <c r="E84" s="29">
        <v>20.3</v>
      </c>
      <c r="F84" s="29">
        <v>32.5</v>
      </c>
      <c r="G84" s="29">
        <v>4.68</v>
      </c>
      <c r="H84" s="29">
        <v>128</v>
      </c>
    </row>
    <row r="85" spans="1:8" ht="15.75" customHeight="1" x14ac:dyDescent="0.5">
      <c r="A85" s="27">
        <v>84</v>
      </c>
      <c r="B85" s="27">
        <f t="shared" si="8"/>
        <v>5</v>
      </c>
      <c r="C85" s="55">
        <f t="shared" si="9"/>
        <v>45079</v>
      </c>
      <c r="D85" s="29">
        <v>22.68</v>
      </c>
      <c r="E85" s="29">
        <v>44.5</v>
      </c>
      <c r="F85" s="29">
        <v>35.6</v>
      </c>
      <c r="G85" s="29">
        <v>14.849999999999998</v>
      </c>
      <c r="H85" s="29">
        <v>149</v>
      </c>
    </row>
    <row r="86" spans="1:8" ht="15.75" customHeight="1" x14ac:dyDescent="0.5">
      <c r="A86" s="27">
        <v>85</v>
      </c>
      <c r="B86" s="27">
        <f t="shared" si="8"/>
        <v>6</v>
      </c>
      <c r="C86" s="55">
        <f t="shared" si="9"/>
        <v>45080</v>
      </c>
      <c r="D86" s="29">
        <v>45.7</v>
      </c>
      <c r="E86" s="29">
        <v>43</v>
      </c>
      <c r="F86" s="29">
        <v>33.799999999999997</v>
      </c>
      <c r="G86" s="29">
        <v>29.330000000000002</v>
      </c>
      <c r="H86" s="29">
        <v>223</v>
      </c>
    </row>
    <row r="87" spans="1:8" ht="15.75" customHeight="1" x14ac:dyDescent="0.5">
      <c r="A87" s="27">
        <v>86</v>
      </c>
      <c r="B87" s="27">
        <f t="shared" si="8"/>
        <v>7</v>
      </c>
      <c r="C87" s="55">
        <f t="shared" si="9"/>
        <v>45081</v>
      </c>
      <c r="D87" s="29">
        <v>42.64</v>
      </c>
      <c r="E87" s="29">
        <v>18.399999999999999</v>
      </c>
      <c r="F87" s="29">
        <v>65.7</v>
      </c>
      <c r="G87" s="29">
        <v>2.2399999999999984</v>
      </c>
      <c r="H87" s="29">
        <v>159</v>
      </c>
    </row>
    <row r="88" spans="1:8" ht="15.75" customHeight="1" x14ac:dyDescent="0.5">
      <c r="A88" s="27">
        <v>87</v>
      </c>
      <c r="B88" s="27">
        <f t="shared" si="8"/>
        <v>1</v>
      </c>
      <c r="C88" s="55">
        <f t="shared" si="9"/>
        <v>45082</v>
      </c>
      <c r="D88" s="29">
        <v>21.259999999999998</v>
      </c>
      <c r="E88" s="29">
        <v>27.5</v>
      </c>
      <c r="F88" s="29">
        <v>16</v>
      </c>
      <c r="G88" s="29">
        <v>14.979999999999999</v>
      </c>
      <c r="H88" s="29">
        <v>122</v>
      </c>
    </row>
    <row r="89" spans="1:8" ht="15.75" customHeight="1" x14ac:dyDescent="0.5">
      <c r="A89" s="27">
        <v>88</v>
      </c>
      <c r="B89" s="27">
        <f t="shared" si="8"/>
        <v>2</v>
      </c>
      <c r="C89" s="55">
        <f t="shared" si="9"/>
        <v>45083</v>
      </c>
      <c r="D89" s="29">
        <v>28.14</v>
      </c>
      <c r="E89" s="29">
        <v>40.6</v>
      </c>
      <c r="F89" s="29">
        <v>63.2</v>
      </c>
      <c r="G89" s="29">
        <v>6.09</v>
      </c>
      <c r="H89" s="29">
        <v>180</v>
      </c>
    </row>
    <row r="90" spans="1:8" ht="15.75" customHeight="1" x14ac:dyDescent="0.5">
      <c r="A90" s="27">
        <v>89</v>
      </c>
      <c r="B90" s="27">
        <f t="shared" si="8"/>
        <v>3</v>
      </c>
      <c r="C90" s="55">
        <f t="shared" si="9"/>
        <v>45084</v>
      </c>
      <c r="D90" s="29">
        <v>27.66</v>
      </c>
      <c r="E90" s="29">
        <v>76.949999999999989</v>
      </c>
      <c r="F90" s="29">
        <v>73.400000000000006</v>
      </c>
      <c r="G90" s="29">
        <v>12.219999999999995</v>
      </c>
      <c r="H90" s="29">
        <v>147</v>
      </c>
    </row>
    <row r="91" spans="1:8" ht="15.75" customHeight="1" x14ac:dyDescent="0.5">
      <c r="A91" s="27">
        <v>90</v>
      </c>
      <c r="B91" s="27">
        <f t="shared" si="8"/>
        <v>4</v>
      </c>
      <c r="C91" s="55">
        <f t="shared" si="9"/>
        <v>45085</v>
      </c>
      <c r="D91" s="29">
        <v>23.96</v>
      </c>
      <c r="E91" s="29">
        <v>47.8</v>
      </c>
      <c r="F91" s="29">
        <v>51.4</v>
      </c>
      <c r="G91" s="29">
        <v>14.319999999999993</v>
      </c>
      <c r="H91" s="29">
        <v>177</v>
      </c>
    </row>
    <row r="92" spans="1:8" ht="15.75" customHeight="1" x14ac:dyDescent="0.5">
      <c r="A92" s="27">
        <v>91</v>
      </c>
      <c r="B92" s="27">
        <f t="shared" si="8"/>
        <v>5</v>
      </c>
      <c r="C92" s="55">
        <f t="shared" si="9"/>
        <v>45086</v>
      </c>
      <c r="D92" s="29">
        <v>31.860000000000003</v>
      </c>
      <c r="E92" s="29">
        <v>4.9000000000000004</v>
      </c>
      <c r="F92" s="29">
        <v>9.3000000000000007</v>
      </c>
      <c r="G92" s="29">
        <v>12.160000000000002</v>
      </c>
      <c r="H92" s="29">
        <v>93</v>
      </c>
    </row>
    <row r="93" spans="1:8" ht="15.75" customHeight="1" x14ac:dyDescent="0.5">
      <c r="A93" s="27">
        <v>92</v>
      </c>
      <c r="B93" s="27">
        <f t="shared" si="8"/>
        <v>6</v>
      </c>
      <c r="C93" s="55">
        <f t="shared" si="9"/>
        <v>45087</v>
      </c>
      <c r="D93" s="29">
        <v>14.72</v>
      </c>
      <c r="E93" s="29">
        <v>1.5</v>
      </c>
      <c r="F93" s="29">
        <v>33</v>
      </c>
      <c r="G93" s="29">
        <v>10.41</v>
      </c>
      <c r="H93" s="29">
        <v>74</v>
      </c>
    </row>
    <row r="94" spans="1:8" ht="15.75" customHeight="1" x14ac:dyDescent="0.5">
      <c r="A94" s="27">
        <v>93</v>
      </c>
      <c r="B94" s="27">
        <f t="shared" si="8"/>
        <v>7</v>
      </c>
      <c r="C94" s="55">
        <f t="shared" si="9"/>
        <v>45088</v>
      </c>
      <c r="D94" s="29">
        <v>47.54</v>
      </c>
      <c r="E94" s="29">
        <v>33.5</v>
      </c>
      <c r="F94" s="29">
        <v>59</v>
      </c>
      <c r="G94" s="29">
        <v>14.919999999999995</v>
      </c>
      <c r="H94" s="29">
        <v>291.75</v>
      </c>
    </row>
    <row r="95" spans="1:8" ht="15.75" customHeight="1" x14ac:dyDescent="0.5">
      <c r="A95" s="27">
        <v>94</v>
      </c>
      <c r="B95" s="27">
        <f t="shared" si="8"/>
        <v>1</v>
      </c>
      <c r="C95" s="55">
        <f t="shared" si="9"/>
        <v>45089</v>
      </c>
      <c r="D95" s="29">
        <v>56.18</v>
      </c>
      <c r="E95" s="29">
        <v>36.5</v>
      </c>
      <c r="F95" s="29">
        <v>72.3</v>
      </c>
      <c r="G95" s="29">
        <v>14.420000000000002</v>
      </c>
      <c r="H95" s="29">
        <v>225</v>
      </c>
    </row>
    <row r="96" spans="1:8" ht="15.75" customHeight="1" x14ac:dyDescent="0.5">
      <c r="A96" s="27">
        <v>95</v>
      </c>
      <c r="B96" s="27">
        <f t="shared" si="8"/>
        <v>2</v>
      </c>
      <c r="C96" s="55">
        <f t="shared" si="9"/>
        <v>45090</v>
      </c>
      <c r="D96" s="29">
        <v>30.48</v>
      </c>
      <c r="E96" s="29">
        <v>14</v>
      </c>
      <c r="F96" s="29">
        <v>10.9</v>
      </c>
      <c r="G96" s="29">
        <v>13.380000000000003</v>
      </c>
      <c r="H96" s="29">
        <v>117</v>
      </c>
    </row>
    <row r="97" spans="1:8" ht="15.75" customHeight="1" x14ac:dyDescent="0.5">
      <c r="A97" s="27">
        <v>96</v>
      </c>
      <c r="B97" s="27">
        <f t="shared" si="8"/>
        <v>3</v>
      </c>
      <c r="C97" s="55">
        <f t="shared" si="9"/>
        <v>45091</v>
      </c>
      <c r="D97" s="29">
        <v>40.660000000000004</v>
      </c>
      <c r="E97" s="29">
        <v>31.6</v>
      </c>
      <c r="F97" s="29">
        <v>52.9</v>
      </c>
      <c r="G97" s="29">
        <v>10.970000000000002</v>
      </c>
      <c r="H97" s="29">
        <v>175</v>
      </c>
    </row>
    <row r="98" spans="1:8" ht="15.75" customHeight="1" x14ac:dyDescent="0.5">
      <c r="A98" s="27">
        <v>97</v>
      </c>
      <c r="B98" s="27">
        <f t="shared" ref="B98:B129" si="10">WEEKDAY(C98,2)</f>
        <v>4</v>
      </c>
      <c r="C98" s="55">
        <f t="shared" ref="C98:C129" si="11">+C99-1</f>
        <v>45092</v>
      </c>
      <c r="D98" s="29">
        <v>46.519999999999996</v>
      </c>
      <c r="E98" s="29">
        <v>3.5</v>
      </c>
      <c r="F98" s="29">
        <v>5.9</v>
      </c>
      <c r="G98" s="29">
        <v>19.149999999999999</v>
      </c>
      <c r="H98" s="29">
        <v>132</v>
      </c>
    </row>
    <row r="99" spans="1:8" ht="15.75" customHeight="1" x14ac:dyDescent="0.5">
      <c r="A99" s="27">
        <v>98</v>
      </c>
      <c r="B99" s="27">
        <f t="shared" si="10"/>
        <v>5</v>
      </c>
      <c r="C99" s="55">
        <f t="shared" si="11"/>
        <v>45093</v>
      </c>
      <c r="D99" s="29">
        <v>41.980000000000004</v>
      </c>
      <c r="E99" s="29">
        <v>21</v>
      </c>
      <c r="F99" s="29">
        <v>22</v>
      </c>
      <c r="G99" s="29">
        <v>20.190000000000001</v>
      </c>
      <c r="H99" s="29">
        <v>168</v>
      </c>
    </row>
    <row r="100" spans="1:8" ht="15.75" customHeight="1" x14ac:dyDescent="0.5">
      <c r="A100" s="27">
        <v>99</v>
      </c>
      <c r="B100" s="27">
        <f t="shared" si="10"/>
        <v>6</v>
      </c>
      <c r="C100" s="55">
        <f t="shared" si="11"/>
        <v>45094</v>
      </c>
      <c r="D100" s="29">
        <v>64.94</v>
      </c>
      <c r="E100" s="29">
        <v>42.3</v>
      </c>
      <c r="F100" s="29">
        <v>51.2</v>
      </c>
      <c r="G100" s="29">
        <v>29.639999999999993</v>
      </c>
      <c r="H100" s="29">
        <v>257</v>
      </c>
    </row>
    <row r="101" spans="1:8" ht="15.75" customHeight="1" x14ac:dyDescent="0.5">
      <c r="A101" s="27">
        <v>100</v>
      </c>
      <c r="B101" s="27">
        <f t="shared" si="10"/>
        <v>7</v>
      </c>
      <c r="C101" s="55">
        <f t="shared" si="11"/>
        <v>45095</v>
      </c>
      <c r="D101" s="29">
        <v>28.04</v>
      </c>
      <c r="E101" s="29">
        <v>41.7</v>
      </c>
      <c r="F101" s="29">
        <v>45.9</v>
      </c>
      <c r="G101" s="29">
        <v>16.010000000000005</v>
      </c>
      <c r="H101" s="29">
        <v>183</v>
      </c>
    </row>
    <row r="102" spans="1:8" ht="15.75" customHeight="1" x14ac:dyDescent="0.5">
      <c r="A102" s="27">
        <v>101</v>
      </c>
      <c r="B102" s="27">
        <f t="shared" si="10"/>
        <v>1</v>
      </c>
      <c r="C102" s="55">
        <f t="shared" si="11"/>
        <v>45096</v>
      </c>
      <c r="D102" s="29">
        <v>51.480000000000004</v>
      </c>
      <c r="E102" s="29">
        <v>4.3</v>
      </c>
      <c r="F102" s="29">
        <v>49.8</v>
      </c>
      <c r="G102" s="29">
        <v>4.4699999999999989</v>
      </c>
      <c r="H102" s="29">
        <v>137</v>
      </c>
    </row>
    <row r="103" spans="1:8" ht="15.75" customHeight="1" x14ac:dyDescent="0.5">
      <c r="A103" s="27">
        <v>102</v>
      </c>
      <c r="B103" s="27">
        <f t="shared" si="10"/>
        <v>2</v>
      </c>
      <c r="C103" s="55">
        <f t="shared" si="11"/>
        <v>45097</v>
      </c>
      <c r="D103" s="29">
        <v>63.279999999999994</v>
      </c>
      <c r="E103" s="29">
        <v>36.299999999999997</v>
      </c>
      <c r="F103" s="29">
        <v>93.625</v>
      </c>
      <c r="G103" s="29">
        <v>10.339999999999989</v>
      </c>
      <c r="H103" s="29">
        <v>254</v>
      </c>
    </row>
    <row r="104" spans="1:8" ht="15.75" customHeight="1" x14ac:dyDescent="0.5">
      <c r="A104" s="27">
        <v>103</v>
      </c>
      <c r="B104" s="27">
        <f t="shared" si="10"/>
        <v>3</v>
      </c>
      <c r="C104" s="55">
        <f t="shared" si="11"/>
        <v>45098</v>
      </c>
      <c r="D104" s="29">
        <v>64.039999999999992</v>
      </c>
      <c r="E104" s="29">
        <v>10.1</v>
      </c>
      <c r="F104" s="29">
        <v>21.4</v>
      </c>
      <c r="G104" s="29">
        <v>24.509999999999998</v>
      </c>
      <c r="H104" s="29">
        <v>158</v>
      </c>
    </row>
    <row r="105" spans="1:8" ht="15.75" customHeight="1" x14ac:dyDescent="0.5">
      <c r="A105" s="27">
        <v>104</v>
      </c>
      <c r="B105" s="27">
        <f t="shared" si="10"/>
        <v>4</v>
      </c>
      <c r="C105" s="55">
        <f t="shared" si="11"/>
        <v>45099</v>
      </c>
      <c r="D105" s="29">
        <v>38.58</v>
      </c>
      <c r="E105" s="29">
        <v>17.2</v>
      </c>
      <c r="F105" s="29">
        <v>17.899999999999999</v>
      </c>
      <c r="G105" s="29">
        <v>20.23</v>
      </c>
      <c r="H105" s="29">
        <v>163</v>
      </c>
    </row>
    <row r="106" spans="1:8" ht="15.75" customHeight="1" x14ac:dyDescent="0.5">
      <c r="A106" s="27">
        <v>105</v>
      </c>
      <c r="B106" s="27">
        <f t="shared" si="10"/>
        <v>5</v>
      </c>
      <c r="C106" s="55">
        <f t="shared" si="11"/>
        <v>45100</v>
      </c>
      <c r="D106" s="29">
        <v>54.64</v>
      </c>
      <c r="E106" s="29">
        <v>34.299999999999997</v>
      </c>
      <c r="F106" s="29">
        <v>5.3</v>
      </c>
      <c r="G106" s="29">
        <v>38.85</v>
      </c>
      <c r="H106" s="29">
        <v>208</v>
      </c>
    </row>
    <row r="107" spans="1:8" ht="15.75" customHeight="1" x14ac:dyDescent="0.5">
      <c r="A107" s="27">
        <v>106</v>
      </c>
      <c r="B107" s="27">
        <f t="shared" si="10"/>
        <v>6</v>
      </c>
      <c r="C107" s="55">
        <f t="shared" si="11"/>
        <v>45101</v>
      </c>
      <c r="D107" s="29">
        <v>37.58</v>
      </c>
      <c r="E107" s="29">
        <v>46.4</v>
      </c>
      <c r="F107" s="29">
        <v>59</v>
      </c>
      <c r="G107" s="29">
        <v>13.39</v>
      </c>
      <c r="H107" s="29">
        <v>196</v>
      </c>
    </row>
    <row r="108" spans="1:8" ht="15.75" customHeight="1" x14ac:dyDescent="0.5">
      <c r="A108" s="27">
        <v>107</v>
      </c>
      <c r="B108" s="27">
        <f t="shared" si="10"/>
        <v>7</v>
      </c>
      <c r="C108" s="55">
        <f t="shared" si="11"/>
        <v>45102</v>
      </c>
      <c r="D108" s="29">
        <v>8</v>
      </c>
      <c r="E108" s="29">
        <v>11</v>
      </c>
      <c r="F108" s="29">
        <v>29.7</v>
      </c>
      <c r="G108" s="29">
        <v>16.119999999999997</v>
      </c>
      <c r="H108" s="29">
        <v>86</v>
      </c>
    </row>
    <row r="109" spans="1:8" ht="15.75" customHeight="1" x14ac:dyDescent="0.5">
      <c r="A109" s="27">
        <v>108</v>
      </c>
      <c r="B109" s="27">
        <f t="shared" si="10"/>
        <v>1</v>
      </c>
      <c r="C109" s="55">
        <f t="shared" si="11"/>
        <v>45103</v>
      </c>
      <c r="D109" s="29">
        <v>27.080000000000002</v>
      </c>
      <c r="E109" s="29">
        <v>0.3</v>
      </c>
      <c r="F109" s="29">
        <v>23.2</v>
      </c>
      <c r="G109" s="29">
        <v>19.910000000000004</v>
      </c>
      <c r="H109" s="29">
        <v>104</v>
      </c>
    </row>
    <row r="110" spans="1:8" ht="15.75" customHeight="1" x14ac:dyDescent="0.5">
      <c r="A110" s="27">
        <v>109</v>
      </c>
      <c r="B110" s="27">
        <f t="shared" si="10"/>
        <v>2</v>
      </c>
      <c r="C110" s="55">
        <f t="shared" si="11"/>
        <v>45104</v>
      </c>
      <c r="D110" s="29">
        <v>9.620000000000001</v>
      </c>
      <c r="E110" s="29">
        <v>0.4</v>
      </c>
      <c r="F110" s="29">
        <v>25.6</v>
      </c>
      <c r="G110" s="29">
        <v>11.269999999999998</v>
      </c>
      <c r="H110" s="29">
        <v>54</v>
      </c>
    </row>
    <row r="111" spans="1:8" ht="15.75" customHeight="1" x14ac:dyDescent="0.5">
      <c r="A111" s="27">
        <v>110</v>
      </c>
      <c r="B111" s="27">
        <f t="shared" si="10"/>
        <v>3</v>
      </c>
      <c r="C111" s="55">
        <f t="shared" si="11"/>
        <v>45105</v>
      </c>
      <c r="D111" s="29">
        <v>53.08</v>
      </c>
      <c r="E111" s="29">
        <v>26.9</v>
      </c>
      <c r="F111" s="29">
        <v>5.5</v>
      </c>
      <c r="G111" s="29">
        <v>36.789999999999992</v>
      </c>
      <c r="H111" s="29">
        <v>140.72222222222223</v>
      </c>
    </row>
    <row r="112" spans="1:8" ht="15.75" customHeight="1" x14ac:dyDescent="0.5">
      <c r="A112" s="27">
        <v>111</v>
      </c>
      <c r="B112" s="27">
        <f t="shared" si="10"/>
        <v>4</v>
      </c>
      <c r="C112" s="55">
        <f t="shared" si="11"/>
        <v>45106</v>
      </c>
      <c r="D112" s="29">
        <v>54.160000000000004</v>
      </c>
      <c r="E112" s="29">
        <v>8.1999999999999993</v>
      </c>
      <c r="F112" s="29">
        <v>56.5</v>
      </c>
      <c r="G112" s="29">
        <v>4.0799999999999983</v>
      </c>
      <c r="H112" s="29">
        <v>150</v>
      </c>
    </row>
    <row r="113" spans="1:8" ht="15.75" customHeight="1" x14ac:dyDescent="0.5">
      <c r="A113" s="27">
        <v>112</v>
      </c>
      <c r="B113" s="27">
        <f t="shared" si="10"/>
        <v>5</v>
      </c>
      <c r="C113" s="55">
        <f t="shared" si="11"/>
        <v>45107</v>
      </c>
      <c r="D113" s="29">
        <v>55.339999999999996</v>
      </c>
      <c r="E113" s="29">
        <v>38</v>
      </c>
      <c r="F113" s="29">
        <v>23.2</v>
      </c>
      <c r="G113" s="29">
        <v>33.89</v>
      </c>
      <c r="H113" s="29">
        <v>221</v>
      </c>
    </row>
    <row r="114" spans="1:8" ht="15.75" customHeight="1" x14ac:dyDescent="0.5">
      <c r="A114" s="27">
        <v>113</v>
      </c>
      <c r="B114" s="27">
        <f t="shared" si="10"/>
        <v>6</v>
      </c>
      <c r="C114" s="55">
        <f t="shared" si="11"/>
        <v>45108</v>
      </c>
      <c r="D114" s="29">
        <v>39.14</v>
      </c>
      <c r="E114" s="29">
        <v>15.4</v>
      </c>
      <c r="F114" s="29">
        <v>2.4</v>
      </c>
      <c r="G114" s="29">
        <v>24.31</v>
      </c>
      <c r="H114" s="29">
        <v>159</v>
      </c>
    </row>
    <row r="115" spans="1:8" ht="15.75" customHeight="1" x14ac:dyDescent="0.5">
      <c r="A115" s="27">
        <v>114</v>
      </c>
      <c r="B115" s="27">
        <f t="shared" si="10"/>
        <v>7</v>
      </c>
      <c r="C115" s="55">
        <f t="shared" si="11"/>
        <v>45109</v>
      </c>
      <c r="D115" s="29">
        <v>44.92</v>
      </c>
      <c r="E115" s="29">
        <v>20.6</v>
      </c>
      <c r="F115" s="29">
        <v>10.7</v>
      </c>
      <c r="G115" s="29">
        <v>26.98</v>
      </c>
      <c r="H115" s="29">
        <v>167</v>
      </c>
    </row>
    <row r="116" spans="1:8" ht="15.75" customHeight="1" x14ac:dyDescent="0.5">
      <c r="A116" s="27">
        <v>115</v>
      </c>
      <c r="B116" s="27">
        <f t="shared" si="10"/>
        <v>1</v>
      </c>
      <c r="C116" s="55">
        <f t="shared" si="11"/>
        <v>45110</v>
      </c>
      <c r="D116" s="29">
        <v>18.64</v>
      </c>
      <c r="E116" s="29">
        <v>46.8</v>
      </c>
      <c r="F116" s="29">
        <v>34.5</v>
      </c>
      <c r="G116" s="29">
        <v>17.419999999999998</v>
      </c>
      <c r="H116" s="29">
        <v>152</v>
      </c>
    </row>
    <row r="117" spans="1:8" ht="15.75" customHeight="1" x14ac:dyDescent="0.5">
      <c r="A117" s="27">
        <v>116</v>
      </c>
      <c r="B117" s="27">
        <f t="shared" si="10"/>
        <v>2</v>
      </c>
      <c r="C117" s="55">
        <f t="shared" si="11"/>
        <v>45111</v>
      </c>
      <c r="D117" s="29">
        <v>24.02</v>
      </c>
      <c r="E117" s="29">
        <v>35</v>
      </c>
      <c r="F117" s="29">
        <v>52.7</v>
      </c>
      <c r="G117" s="29">
        <v>3.9299999999999962</v>
      </c>
      <c r="H117" s="29">
        <v>133</v>
      </c>
    </row>
    <row r="118" spans="1:8" ht="15.75" customHeight="1" x14ac:dyDescent="0.5">
      <c r="A118" s="27">
        <v>117</v>
      </c>
      <c r="B118" s="27">
        <f t="shared" si="10"/>
        <v>3</v>
      </c>
      <c r="C118" s="55">
        <f t="shared" si="11"/>
        <v>45112</v>
      </c>
      <c r="D118" s="29">
        <v>37.839999999999996</v>
      </c>
      <c r="E118" s="29">
        <v>14.3</v>
      </c>
      <c r="F118" s="29">
        <v>25.6</v>
      </c>
      <c r="G118" s="29">
        <v>10.829999999999998</v>
      </c>
      <c r="H118" s="29">
        <v>129</v>
      </c>
    </row>
    <row r="119" spans="1:8" ht="15.75" customHeight="1" x14ac:dyDescent="0.5">
      <c r="A119" s="27">
        <v>118</v>
      </c>
      <c r="B119" s="27">
        <f t="shared" si="10"/>
        <v>4</v>
      </c>
      <c r="C119" s="55">
        <f t="shared" si="11"/>
        <v>45113</v>
      </c>
      <c r="D119" s="29">
        <v>25.28</v>
      </c>
      <c r="E119" s="29">
        <v>0.8</v>
      </c>
      <c r="F119" s="29">
        <v>14.8</v>
      </c>
      <c r="G119" s="29">
        <v>2.12</v>
      </c>
      <c r="H119" s="29">
        <v>108</v>
      </c>
    </row>
    <row r="120" spans="1:8" ht="15.75" customHeight="1" x14ac:dyDescent="0.5">
      <c r="A120" s="27">
        <v>119</v>
      </c>
      <c r="B120" s="27">
        <f t="shared" si="10"/>
        <v>5</v>
      </c>
      <c r="C120" s="55">
        <f t="shared" si="11"/>
        <v>45114</v>
      </c>
      <c r="D120" s="29">
        <v>29.14</v>
      </c>
      <c r="E120" s="29">
        <v>36.9</v>
      </c>
      <c r="F120" s="29">
        <v>79.2</v>
      </c>
      <c r="G120" s="29">
        <v>19.339999999999996</v>
      </c>
      <c r="H120" s="29">
        <v>172</v>
      </c>
    </row>
    <row r="121" spans="1:8" ht="15.75" customHeight="1" x14ac:dyDescent="0.5">
      <c r="A121" s="27">
        <v>120</v>
      </c>
      <c r="B121" s="27">
        <f t="shared" si="10"/>
        <v>6</v>
      </c>
      <c r="C121" s="55">
        <f t="shared" si="11"/>
        <v>45115</v>
      </c>
      <c r="D121" s="29">
        <v>9.879999999999999</v>
      </c>
      <c r="E121" s="29">
        <v>16</v>
      </c>
      <c r="F121" s="29">
        <v>22.3</v>
      </c>
      <c r="G121" s="29">
        <v>1.0199999999999996</v>
      </c>
      <c r="H121" s="29">
        <v>77</v>
      </c>
    </row>
    <row r="122" spans="1:8" ht="15.75" customHeight="1" x14ac:dyDescent="0.5">
      <c r="A122" s="27">
        <v>121</v>
      </c>
      <c r="B122" s="27">
        <f t="shared" si="10"/>
        <v>7</v>
      </c>
      <c r="C122" s="55">
        <f t="shared" si="11"/>
        <v>45116</v>
      </c>
      <c r="D122" s="29">
        <v>36.260000000000005</v>
      </c>
      <c r="E122" s="29">
        <v>26.8</v>
      </c>
      <c r="F122" s="29">
        <v>46.2</v>
      </c>
      <c r="G122" s="29">
        <v>9.0500000000000007</v>
      </c>
      <c r="H122" s="29">
        <v>163</v>
      </c>
    </row>
    <row r="123" spans="1:8" ht="15.75" customHeight="1" x14ac:dyDescent="0.5">
      <c r="A123" s="27">
        <v>122</v>
      </c>
      <c r="B123" s="27">
        <f t="shared" si="10"/>
        <v>1</v>
      </c>
      <c r="C123" s="55">
        <f t="shared" si="11"/>
        <v>45117</v>
      </c>
      <c r="D123" s="29">
        <v>7.76</v>
      </c>
      <c r="E123" s="29">
        <v>21.7</v>
      </c>
      <c r="F123" s="29">
        <v>50.4</v>
      </c>
      <c r="G123" s="29">
        <v>12.57</v>
      </c>
      <c r="H123" s="29">
        <v>81</v>
      </c>
    </row>
    <row r="124" spans="1:8" ht="15.75" customHeight="1" x14ac:dyDescent="0.5">
      <c r="A124" s="27">
        <v>123</v>
      </c>
      <c r="B124" s="27">
        <f t="shared" si="10"/>
        <v>2</v>
      </c>
      <c r="C124" s="55">
        <f t="shared" si="11"/>
        <v>45118</v>
      </c>
      <c r="D124" s="29">
        <v>45.8</v>
      </c>
      <c r="E124" s="29">
        <v>2.4</v>
      </c>
      <c r="F124" s="29">
        <v>15.6</v>
      </c>
      <c r="G124" s="29">
        <v>17.36</v>
      </c>
      <c r="H124" s="29">
        <v>125</v>
      </c>
    </row>
    <row r="125" spans="1:8" ht="15.75" customHeight="1" x14ac:dyDescent="0.5">
      <c r="A125" s="27">
        <v>124</v>
      </c>
      <c r="B125" s="27">
        <f t="shared" si="10"/>
        <v>3</v>
      </c>
      <c r="C125" s="55">
        <f t="shared" si="11"/>
        <v>45119</v>
      </c>
      <c r="D125" s="29">
        <v>33.619999999999997</v>
      </c>
      <c r="E125" s="29">
        <v>34.6</v>
      </c>
      <c r="F125" s="29">
        <v>12.4</v>
      </c>
      <c r="G125" s="29">
        <v>24.65</v>
      </c>
      <c r="H125" s="29">
        <v>171</v>
      </c>
    </row>
    <row r="126" spans="1:8" ht="15.75" customHeight="1" x14ac:dyDescent="0.5">
      <c r="A126" s="27">
        <v>125</v>
      </c>
      <c r="B126" s="27">
        <f t="shared" si="10"/>
        <v>4</v>
      </c>
      <c r="C126" s="55">
        <f t="shared" si="11"/>
        <v>45120</v>
      </c>
      <c r="D126" s="29">
        <v>51.9</v>
      </c>
      <c r="E126" s="29">
        <v>32.299999999999997</v>
      </c>
      <c r="F126" s="29">
        <v>74.2</v>
      </c>
      <c r="G126" s="29">
        <v>9.419999999999991</v>
      </c>
      <c r="H126" s="29">
        <v>201</v>
      </c>
    </row>
    <row r="127" spans="1:8" ht="15.75" customHeight="1" x14ac:dyDescent="0.5">
      <c r="A127" s="27">
        <v>126</v>
      </c>
      <c r="B127" s="27">
        <f t="shared" si="10"/>
        <v>5</v>
      </c>
      <c r="C127" s="55">
        <f t="shared" si="11"/>
        <v>45121</v>
      </c>
      <c r="D127" s="29">
        <v>18.440000000000001</v>
      </c>
      <c r="E127" s="29">
        <v>11.8</v>
      </c>
      <c r="F127" s="29">
        <v>25.9</v>
      </c>
      <c r="G127" s="29">
        <v>4.2600000000000016</v>
      </c>
      <c r="H127" s="29">
        <v>126</v>
      </c>
    </row>
    <row r="128" spans="1:8" ht="15.75" customHeight="1" x14ac:dyDescent="0.5">
      <c r="A128" s="27">
        <v>127</v>
      </c>
      <c r="B128" s="27">
        <f t="shared" si="10"/>
        <v>6</v>
      </c>
      <c r="C128" s="55">
        <f t="shared" si="11"/>
        <v>45122</v>
      </c>
      <c r="D128" s="29">
        <v>8.56</v>
      </c>
      <c r="E128" s="29">
        <v>38.9</v>
      </c>
      <c r="F128" s="29">
        <v>50.6</v>
      </c>
      <c r="G128" s="29">
        <v>19.989999999999998</v>
      </c>
      <c r="H128" s="29">
        <v>78</v>
      </c>
    </row>
    <row r="129" spans="1:8" ht="15.75" customHeight="1" x14ac:dyDescent="0.5">
      <c r="A129" s="27">
        <v>128</v>
      </c>
      <c r="B129" s="27">
        <f t="shared" si="10"/>
        <v>7</v>
      </c>
      <c r="C129" s="55">
        <f t="shared" si="11"/>
        <v>45123</v>
      </c>
      <c r="D129" s="29">
        <v>71.06</v>
      </c>
      <c r="E129" s="29">
        <v>23.450000000000003</v>
      </c>
      <c r="F129" s="29">
        <v>9.1999999999999993</v>
      </c>
      <c r="G129" s="29">
        <v>31.35</v>
      </c>
      <c r="H129" s="29">
        <v>92</v>
      </c>
    </row>
    <row r="130" spans="1:8" ht="15.75" customHeight="1" x14ac:dyDescent="0.5">
      <c r="A130" s="27">
        <v>129</v>
      </c>
      <c r="B130" s="27">
        <f t="shared" ref="B130:B161" si="12">WEEKDAY(C130,2)</f>
        <v>1</v>
      </c>
      <c r="C130" s="55">
        <f t="shared" ref="C130:C161" si="13">+C131-1</f>
        <v>45124</v>
      </c>
      <c r="D130" s="29">
        <v>54.06</v>
      </c>
      <c r="E130" s="29">
        <v>49</v>
      </c>
      <c r="F130" s="29">
        <v>3.2</v>
      </c>
      <c r="G130" s="29">
        <v>41.756249999999994</v>
      </c>
      <c r="H130" s="29">
        <v>264</v>
      </c>
    </row>
    <row r="131" spans="1:8" ht="15.75" customHeight="1" x14ac:dyDescent="0.5">
      <c r="A131" s="27">
        <v>130</v>
      </c>
      <c r="B131" s="27">
        <f t="shared" si="12"/>
        <v>2</v>
      </c>
      <c r="C131" s="55">
        <f t="shared" si="13"/>
        <v>45125</v>
      </c>
      <c r="D131" s="29">
        <v>18.920000000000002</v>
      </c>
      <c r="E131" s="29">
        <v>12</v>
      </c>
      <c r="F131" s="29">
        <v>43.1</v>
      </c>
      <c r="G131" s="29">
        <v>14.719999999999999</v>
      </c>
      <c r="H131" s="29">
        <v>116</v>
      </c>
    </row>
    <row r="132" spans="1:8" ht="15.75" customHeight="1" x14ac:dyDescent="0.5">
      <c r="A132" s="27">
        <v>131</v>
      </c>
      <c r="B132" s="27">
        <f t="shared" si="12"/>
        <v>3</v>
      </c>
      <c r="C132" s="55">
        <f t="shared" si="13"/>
        <v>45126</v>
      </c>
      <c r="D132" s="29">
        <v>6</v>
      </c>
      <c r="E132" s="29">
        <v>39.6</v>
      </c>
      <c r="F132" s="29">
        <v>8.6999999999999993</v>
      </c>
      <c r="G132" s="29">
        <v>41.756249999999994</v>
      </c>
      <c r="H132" s="29">
        <v>28</v>
      </c>
    </row>
    <row r="133" spans="1:8" ht="15.75" customHeight="1" x14ac:dyDescent="0.5">
      <c r="A133" s="27">
        <v>132</v>
      </c>
      <c r="B133" s="27">
        <f t="shared" si="12"/>
        <v>4</v>
      </c>
      <c r="C133" s="55">
        <f t="shared" si="13"/>
        <v>45127</v>
      </c>
      <c r="D133" s="29">
        <v>55.04</v>
      </c>
      <c r="E133" s="29">
        <v>2.9</v>
      </c>
      <c r="F133" s="29">
        <v>43</v>
      </c>
      <c r="G133" s="29">
        <v>10.77</v>
      </c>
      <c r="H133" s="29">
        <v>147</v>
      </c>
    </row>
    <row r="134" spans="1:8" ht="15.75" customHeight="1" x14ac:dyDescent="0.5">
      <c r="A134" s="27">
        <v>133</v>
      </c>
      <c r="B134" s="27">
        <f t="shared" si="12"/>
        <v>5</v>
      </c>
      <c r="C134" s="55">
        <f t="shared" si="13"/>
        <v>45128</v>
      </c>
      <c r="D134" s="29">
        <v>5.68</v>
      </c>
      <c r="E134" s="29">
        <v>27.2</v>
      </c>
      <c r="F134" s="29">
        <v>2.1</v>
      </c>
      <c r="G134" s="29">
        <v>13.6</v>
      </c>
      <c r="H134" s="29">
        <v>71</v>
      </c>
    </row>
    <row r="135" spans="1:8" ht="15.75" customHeight="1" x14ac:dyDescent="0.5">
      <c r="A135" s="27">
        <v>134</v>
      </c>
      <c r="B135" s="27">
        <f t="shared" si="12"/>
        <v>6</v>
      </c>
      <c r="C135" s="55">
        <f t="shared" si="13"/>
        <v>45129</v>
      </c>
      <c r="D135" s="29">
        <v>45.96</v>
      </c>
      <c r="E135" s="29">
        <v>33.5</v>
      </c>
      <c r="F135" s="29">
        <v>45.1</v>
      </c>
      <c r="G135" s="29">
        <v>20.69</v>
      </c>
      <c r="H135" s="29">
        <v>164.45535714285714</v>
      </c>
    </row>
    <row r="136" spans="1:8" ht="15.75" customHeight="1" x14ac:dyDescent="0.5">
      <c r="A136" s="27">
        <v>135</v>
      </c>
      <c r="B136" s="27">
        <f t="shared" si="12"/>
        <v>7</v>
      </c>
      <c r="C136" s="55">
        <f t="shared" si="13"/>
        <v>45130</v>
      </c>
      <c r="D136" s="29">
        <v>14.379999999999999</v>
      </c>
      <c r="E136" s="29">
        <v>38.6</v>
      </c>
      <c r="F136" s="29">
        <v>65.599999999999994</v>
      </c>
      <c r="G136" s="29">
        <v>16.750000000000004</v>
      </c>
      <c r="H136" s="29">
        <v>124</v>
      </c>
    </row>
    <row r="137" spans="1:8" ht="15.75" customHeight="1" x14ac:dyDescent="0.5">
      <c r="A137" s="27">
        <v>136</v>
      </c>
      <c r="B137" s="27">
        <f t="shared" si="12"/>
        <v>1</v>
      </c>
      <c r="C137" s="55">
        <f t="shared" si="13"/>
        <v>45131</v>
      </c>
      <c r="D137" s="29">
        <v>14.66</v>
      </c>
      <c r="E137" s="29">
        <v>47</v>
      </c>
      <c r="F137" s="29">
        <v>8.5</v>
      </c>
      <c r="G137" s="29">
        <v>24.93</v>
      </c>
      <c r="H137" s="29">
        <v>124</v>
      </c>
    </row>
    <row r="138" spans="1:8" ht="15.75" customHeight="1" x14ac:dyDescent="0.5">
      <c r="A138" s="27">
        <v>137</v>
      </c>
      <c r="B138" s="27">
        <f t="shared" si="12"/>
        <v>2</v>
      </c>
      <c r="C138" s="55">
        <f t="shared" si="13"/>
        <v>45132</v>
      </c>
      <c r="D138" s="29">
        <v>10.120000000000001</v>
      </c>
      <c r="E138" s="29">
        <v>39</v>
      </c>
      <c r="F138" s="29">
        <v>9.3000000000000007</v>
      </c>
      <c r="G138" s="29">
        <v>18.339999999999996</v>
      </c>
      <c r="H138" s="29">
        <v>98</v>
      </c>
    </row>
    <row r="139" spans="1:8" ht="15.75" customHeight="1" x14ac:dyDescent="0.5">
      <c r="A139" s="27">
        <v>138</v>
      </c>
      <c r="B139" s="27">
        <f t="shared" si="12"/>
        <v>3</v>
      </c>
      <c r="C139" s="55">
        <f t="shared" si="13"/>
        <v>45133</v>
      </c>
      <c r="D139" s="29">
        <v>58.739999999999995</v>
      </c>
      <c r="E139" s="29">
        <v>28.9</v>
      </c>
      <c r="F139" s="29">
        <v>59.7</v>
      </c>
      <c r="G139" s="29">
        <v>17.939999999999991</v>
      </c>
      <c r="H139" s="29">
        <v>210</v>
      </c>
    </row>
    <row r="140" spans="1:8" ht="15.75" customHeight="1" x14ac:dyDescent="0.5">
      <c r="A140" s="27">
        <v>139</v>
      </c>
      <c r="B140" s="27">
        <f t="shared" si="12"/>
        <v>4</v>
      </c>
      <c r="C140" s="55">
        <f t="shared" si="13"/>
        <v>45134</v>
      </c>
      <c r="D140" s="29">
        <v>9.6</v>
      </c>
      <c r="E140" s="29">
        <v>25.9</v>
      </c>
      <c r="F140" s="29">
        <v>20.5</v>
      </c>
      <c r="G140" s="29">
        <v>9.0499999999999989</v>
      </c>
      <c r="H140" s="29">
        <v>109</v>
      </c>
    </row>
    <row r="141" spans="1:8" ht="15.75" customHeight="1" x14ac:dyDescent="0.5">
      <c r="A141" s="27">
        <v>140</v>
      </c>
      <c r="B141" s="27">
        <f t="shared" si="12"/>
        <v>5</v>
      </c>
      <c r="C141" s="55">
        <f t="shared" si="13"/>
        <v>45135</v>
      </c>
      <c r="D141" s="29">
        <v>96.179999999999993</v>
      </c>
      <c r="E141" s="29">
        <v>43.9</v>
      </c>
      <c r="F141" s="29">
        <v>1.7</v>
      </c>
      <c r="G141" s="29">
        <v>39.76</v>
      </c>
      <c r="H141" s="29">
        <v>227</v>
      </c>
    </row>
    <row r="142" spans="1:8" ht="15.75" customHeight="1" x14ac:dyDescent="0.5">
      <c r="A142" s="27">
        <v>141</v>
      </c>
      <c r="B142" s="27">
        <f t="shared" si="12"/>
        <v>6</v>
      </c>
      <c r="C142" s="55">
        <f t="shared" si="13"/>
        <v>45136</v>
      </c>
      <c r="D142" s="29">
        <v>20.910000000000004</v>
      </c>
      <c r="E142" s="29">
        <v>17</v>
      </c>
      <c r="F142" s="29">
        <v>12.9</v>
      </c>
      <c r="G142" s="29">
        <v>10.68</v>
      </c>
      <c r="H142" s="29">
        <v>113</v>
      </c>
    </row>
    <row r="143" spans="1:8" ht="15.75" customHeight="1" x14ac:dyDescent="0.5">
      <c r="A143" s="27">
        <v>142</v>
      </c>
      <c r="B143" s="27">
        <f t="shared" si="12"/>
        <v>7</v>
      </c>
      <c r="C143" s="55">
        <f t="shared" si="13"/>
        <v>45137</v>
      </c>
      <c r="D143" s="29">
        <v>49.443333333333328</v>
      </c>
      <c r="E143" s="29">
        <v>35.4</v>
      </c>
      <c r="F143" s="29">
        <v>75.599999999999994</v>
      </c>
      <c r="G143" s="29">
        <v>6.8299999999999947</v>
      </c>
      <c r="H143" s="29">
        <v>207</v>
      </c>
    </row>
    <row r="144" spans="1:8" ht="15.75" customHeight="1" x14ac:dyDescent="0.5">
      <c r="A144" s="27">
        <v>143</v>
      </c>
      <c r="B144" s="27">
        <f t="shared" si="12"/>
        <v>1</v>
      </c>
      <c r="C144" s="55">
        <f t="shared" si="13"/>
        <v>45138</v>
      </c>
      <c r="D144" s="29">
        <v>50.1</v>
      </c>
      <c r="E144" s="29">
        <v>33.200000000000003</v>
      </c>
      <c r="F144" s="29">
        <v>37.9</v>
      </c>
      <c r="G144" s="29">
        <v>23.490000000000006</v>
      </c>
      <c r="H144" s="29">
        <v>218</v>
      </c>
    </row>
    <row r="145" spans="1:8" ht="15.75" customHeight="1" x14ac:dyDescent="0.5">
      <c r="A145" s="27">
        <v>144</v>
      </c>
      <c r="B145" s="27">
        <f t="shared" si="12"/>
        <v>2</v>
      </c>
      <c r="C145" s="55">
        <f t="shared" si="13"/>
        <v>45139</v>
      </c>
      <c r="D145" s="29">
        <v>28.919999999999998</v>
      </c>
      <c r="E145" s="29">
        <v>5.7</v>
      </c>
      <c r="F145" s="29">
        <v>34.4</v>
      </c>
      <c r="G145" s="29">
        <v>19.549999999999997</v>
      </c>
      <c r="H145" s="29">
        <v>144.14285714285714</v>
      </c>
    </row>
    <row r="146" spans="1:8" ht="15.75" customHeight="1" x14ac:dyDescent="0.5">
      <c r="A146" s="27">
        <v>145</v>
      </c>
      <c r="B146" s="27">
        <f t="shared" si="12"/>
        <v>3</v>
      </c>
      <c r="C146" s="55">
        <f t="shared" si="13"/>
        <v>45140</v>
      </c>
      <c r="D146" s="29">
        <v>29.240000000000002</v>
      </c>
      <c r="E146" s="29">
        <v>14.8</v>
      </c>
      <c r="F146" s="29">
        <v>38.9</v>
      </c>
      <c r="G146" s="29">
        <v>1.4600000000000026</v>
      </c>
      <c r="H146" s="29">
        <v>127</v>
      </c>
    </row>
    <row r="147" spans="1:8" ht="15.75" customHeight="1" x14ac:dyDescent="0.5">
      <c r="A147" s="27">
        <v>146</v>
      </c>
      <c r="B147" s="27">
        <f t="shared" si="12"/>
        <v>4</v>
      </c>
      <c r="C147" s="55">
        <f t="shared" si="13"/>
        <v>45141</v>
      </c>
      <c r="D147" s="29">
        <v>31.060000000000002</v>
      </c>
      <c r="E147" s="29">
        <v>1.9</v>
      </c>
      <c r="F147" s="29">
        <v>9</v>
      </c>
      <c r="G147" s="29">
        <v>11.38</v>
      </c>
      <c r="H147" s="29">
        <v>123</v>
      </c>
    </row>
    <row r="148" spans="1:8" ht="15.75" customHeight="1" x14ac:dyDescent="0.5">
      <c r="A148" s="27">
        <v>147</v>
      </c>
      <c r="B148" s="27">
        <f t="shared" si="12"/>
        <v>5</v>
      </c>
      <c r="C148" s="55">
        <f t="shared" si="13"/>
        <v>45142</v>
      </c>
      <c r="D148" s="29">
        <v>55.019999999999996</v>
      </c>
      <c r="E148" s="29">
        <v>7.3</v>
      </c>
      <c r="F148" s="29">
        <v>8.6999999999999993</v>
      </c>
      <c r="G148" s="29">
        <v>24.179999999999996</v>
      </c>
      <c r="H148" s="29">
        <v>142</v>
      </c>
    </row>
    <row r="149" spans="1:8" ht="15.75" customHeight="1" x14ac:dyDescent="0.5">
      <c r="A149" s="27">
        <v>148</v>
      </c>
      <c r="B149" s="27">
        <f t="shared" si="12"/>
        <v>6</v>
      </c>
      <c r="C149" s="55">
        <f t="shared" si="13"/>
        <v>45143</v>
      </c>
      <c r="D149" s="29">
        <v>50.64</v>
      </c>
      <c r="E149" s="29">
        <v>49</v>
      </c>
      <c r="F149" s="29">
        <v>44.3</v>
      </c>
      <c r="G149" s="29">
        <v>31.1</v>
      </c>
      <c r="H149" s="29">
        <v>265</v>
      </c>
    </row>
    <row r="150" spans="1:8" ht="15.75" customHeight="1" x14ac:dyDescent="0.5">
      <c r="A150" s="27">
        <v>149</v>
      </c>
      <c r="B150" s="27">
        <f t="shared" si="12"/>
        <v>7</v>
      </c>
      <c r="C150" s="55">
        <f t="shared" si="13"/>
        <v>45144</v>
      </c>
      <c r="D150" s="29">
        <v>15.6</v>
      </c>
      <c r="E150" s="29">
        <v>40.299999999999997</v>
      </c>
      <c r="F150" s="29">
        <v>11.9</v>
      </c>
      <c r="G150" s="29">
        <v>19.189999999999998</v>
      </c>
      <c r="H150" s="29">
        <v>110</v>
      </c>
    </row>
    <row r="151" spans="1:8" ht="15.75" customHeight="1" x14ac:dyDescent="0.5">
      <c r="A151" s="27">
        <v>150</v>
      </c>
      <c r="B151" s="27">
        <f t="shared" si="12"/>
        <v>1</v>
      </c>
      <c r="C151" s="55">
        <f t="shared" si="13"/>
        <v>45145</v>
      </c>
      <c r="D151" s="29">
        <v>96.179999999999993</v>
      </c>
      <c r="E151" s="29">
        <v>25.8</v>
      </c>
      <c r="F151" s="29">
        <v>20.6</v>
      </c>
      <c r="G151" s="29">
        <v>9.1300000000000008</v>
      </c>
      <c r="H151" s="29">
        <v>118</v>
      </c>
    </row>
    <row r="152" spans="1:8" ht="15.75" customHeight="1" x14ac:dyDescent="0.5">
      <c r="A152" s="27">
        <v>151</v>
      </c>
      <c r="B152" s="27">
        <f t="shared" si="12"/>
        <v>2</v>
      </c>
      <c r="C152" s="55">
        <f t="shared" si="13"/>
        <v>45146</v>
      </c>
      <c r="D152" s="29">
        <v>66.14</v>
      </c>
      <c r="E152" s="29">
        <v>13.9</v>
      </c>
      <c r="F152" s="29">
        <v>37</v>
      </c>
      <c r="G152" s="29">
        <v>20.220000000000002</v>
      </c>
      <c r="H152" s="29">
        <v>166</v>
      </c>
    </row>
    <row r="153" spans="1:8" ht="15.75" customHeight="1" x14ac:dyDescent="0.5">
      <c r="A153" s="27">
        <v>152</v>
      </c>
      <c r="B153" s="27">
        <f t="shared" si="12"/>
        <v>3</v>
      </c>
      <c r="C153" s="55">
        <f t="shared" si="13"/>
        <v>45147</v>
      </c>
      <c r="D153" s="29">
        <v>31.2</v>
      </c>
      <c r="E153" s="29">
        <v>8.4</v>
      </c>
      <c r="F153" s="29">
        <v>48.7</v>
      </c>
      <c r="G153" s="29">
        <v>16.819999999999997</v>
      </c>
      <c r="H153" s="29">
        <v>125</v>
      </c>
    </row>
    <row r="154" spans="1:8" ht="15.75" customHeight="1" x14ac:dyDescent="0.5">
      <c r="A154" s="27">
        <v>153</v>
      </c>
      <c r="B154" s="27">
        <f t="shared" si="12"/>
        <v>4</v>
      </c>
      <c r="C154" s="55">
        <f t="shared" si="13"/>
        <v>45148</v>
      </c>
      <c r="D154" s="29">
        <v>40.519999999999996</v>
      </c>
      <c r="E154" s="29">
        <v>23.3</v>
      </c>
      <c r="F154" s="29">
        <v>14.2</v>
      </c>
      <c r="G154" s="29">
        <v>25.729999999999997</v>
      </c>
      <c r="H154" s="29">
        <v>169</v>
      </c>
    </row>
    <row r="155" spans="1:8" ht="15.75" customHeight="1" x14ac:dyDescent="0.5">
      <c r="A155" s="27">
        <v>154</v>
      </c>
      <c r="B155" s="27">
        <f t="shared" si="12"/>
        <v>5</v>
      </c>
      <c r="C155" s="55">
        <f t="shared" si="13"/>
        <v>45149</v>
      </c>
      <c r="D155" s="29">
        <v>37.260000000000005</v>
      </c>
      <c r="E155" s="29">
        <v>39.700000000000003</v>
      </c>
      <c r="F155" s="29">
        <v>37.700000000000003</v>
      </c>
      <c r="G155" s="29">
        <v>21.900000000000002</v>
      </c>
      <c r="H155" s="29">
        <v>208</v>
      </c>
    </row>
    <row r="156" spans="1:8" ht="15.75" customHeight="1" x14ac:dyDescent="0.5">
      <c r="A156" s="27">
        <v>155</v>
      </c>
      <c r="B156" s="27">
        <f t="shared" si="12"/>
        <v>6</v>
      </c>
      <c r="C156" s="55">
        <f t="shared" si="13"/>
        <v>45150</v>
      </c>
      <c r="D156" s="29">
        <v>43.56</v>
      </c>
      <c r="E156" s="29">
        <v>21.1</v>
      </c>
      <c r="F156" s="29">
        <v>9.5</v>
      </c>
      <c r="G156" s="29">
        <v>25.53</v>
      </c>
      <c r="H156" s="29">
        <v>166</v>
      </c>
    </row>
    <row r="157" spans="1:8" ht="15.75" customHeight="1" x14ac:dyDescent="0.5">
      <c r="A157" s="27">
        <v>156</v>
      </c>
      <c r="B157" s="27">
        <f t="shared" si="12"/>
        <v>7</v>
      </c>
      <c r="C157" s="55">
        <f t="shared" si="13"/>
        <v>45151</v>
      </c>
      <c r="D157" s="29">
        <v>9.82</v>
      </c>
      <c r="E157" s="29">
        <v>11.6</v>
      </c>
      <c r="F157" s="29">
        <v>5.7</v>
      </c>
      <c r="G157" s="29">
        <v>41.756249999999994</v>
      </c>
      <c r="H157" s="29">
        <v>35</v>
      </c>
    </row>
    <row r="158" spans="1:8" ht="15.75" customHeight="1" x14ac:dyDescent="0.5">
      <c r="A158" s="27">
        <v>157</v>
      </c>
      <c r="B158" s="27">
        <f t="shared" si="12"/>
        <v>1</v>
      </c>
      <c r="C158" s="55">
        <f t="shared" si="13"/>
        <v>45152</v>
      </c>
      <c r="D158" s="29">
        <v>25.78</v>
      </c>
      <c r="E158" s="29">
        <v>43.5</v>
      </c>
      <c r="F158" s="29">
        <v>50.5</v>
      </c>
      <c r="G158" s="29">
        <v>10.939999999999998</v>
      </c>
      <c r="H158" s="29">
        <v>173</v>
      </c>
    </row>
    <row r="159" spans="1:8" ht="15.75" customHeight="1" x14ac:dyDescent="0.5">
      <c r="A159" s="27">
        <v>158</v>
      </c>
      <c r="B159" s="27">
        <f t="shared" si="12"/>
        <v>2</v>
      </c>
      <c r="C159" s="55">
        <f t="shared" si="13"/>
        <v>45153</v>
      </c>
      <c r="D159" s="29">
        <v>39.96</v>
      </c>
      <c r="E159" s="29">
        <v>1.3</v>
      </c>
      <c r="F159" s="29">
        <v>24.3</v>
      </c>
      <c r="G159" s="29">
        <v>5.91</v>
      </c>
      <c r="H159" s="29">
        <v>111</v>
      </c>
    </row>
    <row r="160" spans="1:8" ht="15.75" customHeight="1" x14ac:dyDescent="0.5">
      <c r="A160" s="27">
        <v>159</v>
      </c>
      <c r="B160" s="27">
        <f t="shared" si="12"/>
        <v>3</v>
      </c>
      <c r="C160" s="55">
        <f t="shared" si="13"/>
        <v>45154</v>
      </c>
      <c r="D160" s="29">
        <v>12.34</v>
      </c>
      <c r="E160" s="29">
        <v>36.9</v>
      </c>
      <c r="F160" s="29">
        <v>45.2</v>
      </c>
      <c r="G160" s="29">
        <v>1.5399999999999956</v>
      </c>
      <c r="H160" s="29">
        <v>85</v>
      </c>
    </row>
    <row r="161" spans="1:8" ht="15.75" customHeight="1" x14ac:dyDescent="0.5">
      <c r="A161" s="27">
        <v>160</v>
      </c>
      <c r="B161" s="27">
        <f t="shared" si="12"/>
        <v>4</v>
      </c>
      <c r="C161" s="55">
        <f t="shared" si="13"/>
        <v>45155</v>
      </c>
      <c r="D161" s="29">
        <v>32.339999999999996</v>
      </c>
      <c r="E161" s="29">
        <v>18.399999999999999</v>
      </c>
      <c r="F161" s="29">
        <v>34.6</v>
      </c>
      <c r="G161" s="29">
        <v>8.5299999999999958</v>
      </c>
      <c r="H161" s="29">
        <v>138</v>
      </c>
    </row>
    <row r="162" spans="1:8" ht="15.75" customHeight="1" x14ac:dyDescent="0.5">
      <c r="A162" s="27">
        <v>161</v>
      </c>
      <c r="B162" s="27">
        <f t="shared" ref="B162:B193" si="14">WEEKDAY(C162,2)</f>
        <v>5</v>
      </c>
      <c r="C162" s="55">
        <f t="shared" ref="C162:C193" si="15">+C163-1</f>
        <v>45156</v>
      </c>
      <c r="D162" s="29">
        <v>44.5</v>
      </c>
      <c r="E162" s="29">
        <v>18.100000000000001</v>
      </c>
      <c r="F162" s="29">
        <v>30.7</v>
      </c>
      <c r="G162" s="29">
        <v>14.02</v>
      </c>
      <c r="H162" s="29">
        <v>159</v>
      </c>
    </row>
    <row r="163" spans="1:8" ht="15.75" customHeight="1" x14ac:dyDescent="0.5">
      <c r="A163" s="27">
        <v>162</v>
      </c>
      <c r="B163" s="27">
        <f t="shared" si="14"/>
        <v>6</v>
      </c>
      <c r="C163" s="55">
        <f t="shared" si="15"/>
        <v>45157</v>
      </c>
      <c r="D163" s="29">
        <v>19.14</v>
      </c>
      <c r="E163" s="29">
        <v>35.799999999999997</v>
      </c>
      <c r="F163" s="29">
        <v>49.3</v>
      </c>
      <c r="G163" s="29">
        <v>6.75</v>
      </c>
      <c r="H163" s="29">
        <v>151</v>
      </c>
    </row>
    <row r="164" spans="1:8" ht="15.75" customHeight="1" x14ac:dyDescent="0.5">
      <c r="A164" s="27">
        <v>163</v>
      </c>
      <c r="B164" s="27">
        <f t="shared" si="14"/>
        <v>7</v>
      </c>
      <c r="C164" s="55">
        <f t="shared" si="15"/>
        <v>45158</v>
      </c>
      <c r="D164" s="29">
        <v>42.68</v>
      </c>
      <c r="E164" s="29">
        <v>23.450000000000003</v>
      </c>
      <c r="F164" s="29">
        <v>25.9</v>
      </c>
      <c r="G164" s="29">
        <v>17.649999999999999</v>
      </c>
      <c r="H164" s="29">
        <v>168</v>
      </c>
    </row>
    <row r="165" spans="1:8" ht="15.75" customHeight="1" x14ac:dyDescent="0.5">
      <c r="A165" s="27">
        <v>164</v>
      </c>
      <c r="B165" s="27">
        <f t="shared" si="14"/>
        <v>1</v>
      </c>
      <c r="C165" s="55">
        <f t="shared" si="15"/>
        <v>45159</v>
      </c>
      <c r="D165" s="29">
        <v>33.700000000000003</v>
      </c>
      <c r="E165" s="29">
        <v>36.799999999999997</v>
      </c>
      <c r="F165" s="29">
        <v>7.4</v>
      </c>
      <c r="G165" s="29">
        <v>31.79</v>
      </c>
      <c r="H165" s="29">
        <v>193</v>
      </c>
    </row>
    <row r="166" spans="1:8" ht="15.75" customHeight="1" x14ac:dyDescent="0.5">
      <c r="A166" s="27">
        <v>165</v>
      </c>
      <c r="B166" s="27">
        <f t="shared" si="14"/>
        <v>2</v>
      </c>
      <c r="C166" s="55">
        <f t="shared" si="15"/>
        <v>45160</v>
      </c>
      <c r="D166" s="29">
        <v>28.44</v>
      </c>
      <c r="E166" s="29">
        <v>14.7</v>
      </c>
      <c r="F166" s="29">
        <v>5.4</v>
      </c>
      <c r="G166" s="29">
        <v>16.91</v>
      </c>
      <c r="H166" s="29">
        <v>132</v>
      </c>
    </row>
    <row r="167" spans="1:8" ht="15.75" customHeight="1" x14ac:dyDescent="0.5">
      <c r="A167" s="27">
        <v>166</v>
      </c>
      <c r="B167" s="27">
        <f t="shared" si="14"/>
        <v>3</v>
      </c>
      <c r="C167" s="55">
        <f t="shared" si="15"/>
        <v>45161</v>
      </c>
      <c r="D167" s="29">
        <v>56.9</v>
      </c>
      <c r="E167" s="29">
        <v>3.4</v>
      </c>
      <c r="F167" s="29">
        <v>84.8</v>
      </c>
      <c r="G167" s="29">
        <v>11.229999999999997</v>
      </c>
      <c r="H167" s="29">
        <v>131</v>
      </c>
    </row>
    <row r="168" spans="1:8" ht="15.75" customHeight="1" x14ac:dyDescent="0.5">
      <c r="A168" s="27">
        <v>167</v>
      </c>
      <c r="B168" s="27">
        <f t="shared" si="14"/>
        <v>4</v>
      </c>
      <c r="C168" s="55">
        <f t="shared" si="15"/>
        <v>45162</v>
      </c>
      <c r="D168" s="29">
        <v>11.58</v>
      </c>
      <c r="E168" s="29">
        <v>37.6</v>
      </c>
      <c r="F168" s="29">
        <v>21.6</v>
      </c>
      <c r="G168" s="29">
        <v>11.95</v>
      </c>
      <c r="H168" s="29">
        <v>90</v>
      </c>
    </row>
    <row r="169" spans="1:8" ht="15.75" customHeight="1" x14ac:dyDescent="0.5">
      <c r="A169" s="27">
        <v>168</v>
      </c>
      <c r="B169" s="27">
        <f t="shared" si="14"/>
        <v>5</v>
      </c>
      <c r="C169" s="55">
        <f t="shared" si="15"/>
        <v>45163</v>
      </c>
      <c r="D169" s="29">
        <v>48.36</v>
      </c>
      <c r="E169" s="29">
        <v>5.2</v>
      </c>
      <c r="F169" s="29">
        <v>19.399999999999999</v>
      </c>
      <c r="G169" s="29">
        <v>15.520000000000001</v>
      </c>
      <c r="H169" s="29">
        <v>129</v>
      </c>
    </row>
    <row r="170" spans="1:8" ht="15.75" customHeight="1" x14ac:dyDescent="0.5">
      <c r="A170" s="27">
        <v>169</v>
      </c>
      <c r="B170" s="27">
        <f t="shared" si="14"/>
        <v>6</v>
      </c>
      <c r="C170" s="55">
        <f t="shared" si="15"/>
        <v>45164</v>
      </c>
      <c r="D170" s="29">
        <v>45.08</v>
      </c>
      <c r="E170" s="29">
        <v>23.6</v>
      </c>
      <c r="F170" s="29">
        <v>57.6</v>
      </c>
      <c r="G170" s="29">
        <v>10.3</v>
      </c>
      <c r="H170" s="29">
        <v>185</v>
      </c>
    </row>
    <row r="171" spans="1:8" ht="15.75" customHeight="1" x14ac:dyDescent="0.5">
      <c r="A171" s="27">
        <v>170</v>
      </c>
      <c r="B171" s="27">
        <f t="shared" si="14"/>
        <v>7</v>
      </c>
      <c r="C171" s="55">
        <f t="shared" si="15"/>
        <v>45165</v>
      </c>
      <c r="D171" s="29">
        <v>60.86</v>
      </c>
      <c r="E171" s="29">
        <v>10.6</v>
      </c>
      <c r="F171" s="29">
        <v>6.4</v>
      </c>
      <c r="G171" s="29">
        <v>31.169999999999995</v>
      </c>
      <c r="H171" s="29">
        <v>162</v>
      </c>
    </row>
    <row r="172" spans="1:8" ht="15.75" customHeight="1" x14ac:dyDescent="0.5">
      <c r="A172" s="27">
        <v>171</v>
      </c>
      <c r="B172" s="27">
        <f t="shared" si="14"/>
        <v>1</v>
      </c>
      <c r="C172" s="55">
        <f t="shared" si="15"/>
        <v>45166</v>
      </c>
      <c r="D172" s="29">
        <v>12</v>
      </c>
      <c r="E172" s="29">
        <v>11.6</v>
      </c>
      <c r="F172" s="29">
        <v>18.399999999999999</v>
      </c>
      <c r="G172" s="29">
        <v>3.4400000000000013</v>
      </c>
      <c r="H172" s="29">
        <v>90</v>
      </c>
    </row>
    <row r="173" spans="1:8" ht="15.75" customHeight="1" x14ac:dyDescent="0.5">
      <c r="A173" s="27">
        <v>172</v>
      </c>
      <c r="B173" s="27">
        <f t="shared" si="14"/>
        <v>2</v>
      </c>
      <c r="C173" s="55">
        <f t="shared" si="15"/>
        <v>45167</v>
      </c>
      <c r="D173" s="29">
        <v>42.9</v>
      </c>
      <c r="E173" s="29">
        <v>20.9</v>
      </c>
      <c r="F173" s="29">
        <v>47.4</v>
      </c>
      <c r="G173" s="29">
        <v>7.9399999999999977</v>
      </c>
      <c r="H173" s="29">
        <v>163</v>
      </c>
    </row>
    <row r="174" spans="1:8" ht="15.75" customHeight="1" x14ac:dyDescent="0.5">
      <c r="A174" s="27">
        <v>173</v>
      </c>
      <c r="B174" s="27">
        <f t="shared" si="14"/>
        <v>3</v>
      </c>
      <c r="C174" s="55">
        <f t="shared" si="15"/>
        <v>45168</v>
      </c>
      <c r="D174" s="29">
        <v>9.92</v>
      </c>
      <c r="E174" s="29">
        <v>20.100000000000001</v>
      </c>
      <c r="F174" s="29">
        <v>17</v>
      </c>
      <c r="G174" s="29">
        <v>5.2100000000000009</v>
      </c>
      <c r="H174" s="29">
        <v>93</v>
      </c>
    </row>
    <row r="175" spans="1:8" ht="15.75" customHeight="1" x14ac:dyDescent="0.5">
      <c r="A175" s="27">
        <v>174</v>
      </c>
      <c r="B175" s="27">
        <f t="shared" si="14"/>
        <v>4</v>
      </c>
      <c r="C175" s="55">
        <f t="shared" si="15"/>
        <v>45169</v>
      </c>
      <c r="D175" s="29">
        <v>36.68</v>
      </c>
      <c r="E175" s="29">
        <v>7.1</v>
      </c>
      <c r="F175" s="29">
        <v>12.8</v>
      </c>
      <c r="G175" s="29">
        <v>15.27</v>
      </c>
      <c r="H175" s="29">
        <v>129</v>
      </c>
    </row>
    <row r="176" spans="1:8" ht="15.75" customHeight="1" x14ac:dyDescent="0.5">
      <c r="A176" s="27">
        <v>175</v>
      </c>
      <c r="B176" s="27">
        <f t="shared" si="14"/>
        <v>5</v>
      </c>
      <c r="C176" s="55">
        <f t="shared" si="15"/>
        <v>45170</v>
      </c>
      <c r="D176" s="29">
        <v>53.480000000000004</v>
      </c>
      <c r="E176" s="29">
        <v>3.4</v>
      </c>
      <c r="F176" s="29">
        <v>13.1</v>
      </c>
      <c r="G176" s="29">
        <v>18.700000000000003</v>
      </c>
      <c r="H176" s="29">
        <v>127</v>
      </c>
    </row>
    <row r="177" spans="1:8" ht="15.75" customHeight="1" x14ac:dyDescent="0.5">
      <c r="A177" s="27">
        <v>176</v>
      </c>
      <c r="B177" s="27">
        <f t="shared" si="14"/>
        <v>6</v>
      </c>
      <c r="C177" s="55">
        <f t="shared" si="15"/>
        <v>45171</v>
      </c>
      <c r="D177" s="29">
        <v>64.38</v>
      </c>
      <c r="E177" s="29">
        <v>48.9</v>
      </c>
      <c r="F177" s="29">
        <v>41.8</v>
      </c>
      <c r="G177" s="29">
        <v>35.42</v>
      </c>
      <c r="H177" s="29">
        <v>271</v>
      </c>
    </row>
    <row r="178" spans="1:8" ht="15.75" customHeight="1" x14ac:dyDescent="0.5">
      <c r="A178" s="27">
        <v>177</v>
      </c>
      <c r="B178" s="27">
        <f t="shared" si="14"/>
        <v>7</v>
      </c>
      <c r="C178" s="55">
        <f t="shared" si="15"/>
        <v>45172</v>
      </c>
      <c r="D178" s="29">
        <v>58.68</v>
      </c>
      <c r="E178" s="29">
        <v>30.2</v>
      </c>
      <c r="F178" s="29">
        <v>20.3</v>
      </c>
      <c r="G178" s="29">
        <v>31.819999999999997</v>
      </c>
      <c r="H178" s="29">
        <v>216</v>
      </c>
    </row>
    <row r="179" spans="1:8" ht="15.75" customHeight="1" x14ac:dyDescent="0.5">
      <c r="A179" s="27">
        <v>178</v>
      </c>
      <c r="B179" s="27">
        <f t="shared" si="14"/>
        <v>1</v>
      </c>
      <c r="C179" s="55">
        <f t="shared" si="15"/>
        <v>45173</v>
      </c>
      <c r="D179" s="29">
        <v>40.04</v>
      </c>
      <c r="E179" s="29">
        <v>7.8</v>
      </c>
      <c r="F179" s="29">
        <v>35.200000000000003</v>
      </c>
      <c r="G179" s="29">
        <v>41.756249999999994</v>
      </c>
      <c r="H179" s="29">
        <v>131</v>
      </c>
    </row>
    <row r="180" spans="1:8" ht="15.75" customHeight="1" x14ac:dyDescent="0.5">
      <c r="A180" s="27">
        <v>179</v>
      </c>
      <c r="B180" s="27">
        <f t="shared" si="14"/>
        <v>2</v>
      </c>
      <c r="C180" s="55">
        <f t="shared" si="15"/>
        <v>45174</v>
      </c>
      <c r="D180" s="29">
        <v>63.339999999999996</v>
      </c>
      <c r="E180" s="29">
        <v>2.2999999999999998</v>
      </c>
      <c r="F180" s="29">
        <v>23.7</v>
      </c>
      <c r="G180" s="29">
        <v>19.339999999999996</v>
      </c>
      <c r="H180" s="29">
        <v>131</v>
      </c>
    </row>
    <row r="181" spans="1:8" ht="15.75" customHeight="1" x14ac:dyDescent="0.5">
      <c r="A181" s="27">
        <v>180</v>
      </c>
      <c r="B181" s="27">
        <f t="shared" si="14"/>
        <v>3</v>
      </c>
      <c r="C181" s="55">
        <f t="shared" si="15"/>
        <v>45175</v>
      </c>
      <c r="D181" s="29">
        <v>41.12</v>
      </c>
      <c r="E181" s="29">
        <v>10</v>
      </c>
      <c r="F181" s="29">
        <v>17.600000000000001</v>
      </c>
      <c r="G181" s="29">
        <v>14.519999999999998</v>
      </c>
      <c r="H181" s="29">
        <v>135</v>
      </c>
    </row>
    <row r="182" spans="1:8" ht="15.75" customHeight="1" x14ac:dyDescent="0.5">
      <c r="A182" s="27">
        <v>181</v>
      </c>
      <c r="B182" s="27">
        <f t="shared" si="14"/>
        <v>4</v>
      </c>
      <c r="C182" s="55">
        <f t="shared" si="15"/>
        <v>45176</v>
      </c>
      <c r="D182" s="29">
        <v>36.32</v>
      </c>
      <c r="E182" s="29">
        <v>2.6</v>
      </c>
      <c r="F182" s="29">
        <v>8.3000000000000007</v>
      </c>
      <c r="G182" s="29">
        <v>13.64</v>
      </c>
      <c r="H182" s="29">
        <v>108</v>
      </c>
    </row>
    <row r="183" spans="1:8" ht="15.75" customHeight="1" x14ac:dyDescent="0.5">
      <c r="A183" s="27">
        <v>182</v>
      </c>
      <c r="B183" s="27">
        <f t="shared" si="14"/>
        <v>5</v>
      </c>
      <c r="C183" s="55">
        <f t="shared" si="15"/>
        <v>45177</v>
      </c>
      <c r="D183" s="29">
        <v>52.7</v>
      </c>
      <c r="E183" s="29">
        <v>5.4</v>
      </c>
      <c r="F183" s="29">
        <v>27.4</v>
      </c>
      <c r="G183" s="29">
        <v>13.59</v>
      </c>
      <c r="H183" s="29">
        <v>124</v>
      </c>
    </row>
    <row r="184" spans="1:8" ht="15.75" customHeight="1" x14ac:dyDescent="0.5">
      <c r="A184" s="27">
        <v>183</v>
      </c>
      <c r="B184" s="27">
        <f t="shared" si="14"/>
        <v>6</v>
      </c>
      <c r="C184" s="55">
        <f t="shared" si="15"/>
        <v>45178</v>
      </c>
      <c r="D184" s="29">
        <v>18.240000000000002</v>
      </c>
      <c r="E184" s="29">
        <v>5.7</v>
      </c>
      <c r="F184" s="29">
        <v>29.7</v>
      </c>
      <c r="G184" s="29">
        <v>16.59</v>
      </c>
      <c r="H184" s="29">
        <v>105</v>
      </c>
    </row>
    <row r="185" spans="1:8" ht="15.75" customHeight="1" x14ac:dyDescent="0.5">
      <c r="A185" s="27">
        <v>184</v>
      </c>
      <c r="B185" s="27">
        <f t="shared" si="14"/>
        <v>7</v>
      </c>
      <c r="C185" s="55">
        <f t="shared" si="15"/>
        <v>45179</v>
      </c>
      <c r="D185" s="29">
        <v>65.52000000000001</v>
      </c>
      <c r="E185" s="29">
        <v>43</v>
      </c>
      <c r="F185" s="29">
        <v>71.8</v>
      </c>
      <c r="G185" s="29">
        <v>21.540000000000006</v>
      </c>
      <c r="H185" s="29">
        <v>272</v>
      </c>
    </row>
    <row r="186" spans="1:8" ht="15.75" customHeight="1" x14ac:dyDescent="0.5">
      <c r="A186" s="27">
        <v>185</v>
      </c>
      <c r="B186" s="27">
        <f t="shared" si="14"/>
        <v>1</v>
      </c>
      <c r="C186" s="55">
        <f t="shared" si="15"/>
        <v>45180</v>
      </c>
      <c r="D186" s="29">
        <v>58.760000000000005</v>
      </c>
      <c r="E186" s="29">
        <v>21.3</v>
      </c>
      <c r="F186" s="29">
        <v>30</v>
      </c>
      <c r="G186" s="29">
        <v>24.03</v>
      </c>
      <c r="H186" s="29">
        <v>188</v>
      </c>
    </row>
    <row r="187" spans="1:8" ht="15.75" customHeight="1" x14ac:dyDescent="0.5">
      <c r="A187" s="27">
        <v>186</v>
      </c>
      <c r="B187" s="27">
        <f t="shared" si="14"/>
        <v>2</v>
      </c>
      <c r="C187" s="55">
        <f t="shared" si="15"/>
        <v>45181</v>
      </c>
      <c r="D187" s="29">
        <v>46</v>
      </c>
      <c r="E187" s="29">
        <v>45.1</v>
      </c>
      <c r="F187" s="29">
        <v>19.600000000000001</v>
      </c>
      <c r="G187" s="29">
        <v>35.209999999999994</v>
      </c>
      <c r="H187" s="29">
        <v>228</v>
      </c>
    </row>
    <row r="188" spans="1:8" ht="15.75" customHeight="1" x14ac:dyDescent="0.5">
      <c r="A188" s="27">
        <v>187</v>
      </c>
      <c r="B188" s="27">
        <f t="shared" si="14"/>
        <v>3</v>
      </c>
      <c r="C188" s="55">
        <f t="shared" si="15"/>
        <v>45182</v>
      </c>
      <c r="D188" s="29">
        <v>35.9</v>
      </c>
      <c r="E188" s="29">
        <v>2.1</v>
      </c>
      <c r="F188" s="29">
        <v>26.6</v>
      </c>
      <c r="G188" s="29">
        <v>4.3599999999999994</v>
      </c>
      <c r="H188" s="29">
        <v>108</v>
      </c>
    </row>
    <row r="189" spans="1:8" ht="15.75" customHeight="1" x14ac:dyDescent="0.5">
      <c r="A189" s="27">
        <v>188</v>
      </c>
      <c r="B189" s="27">
        <f t="shared" si="14"/>
        <v>4</v>
      </c>
      <c r="C189" s="55">
        <f t="shared" si="15"/>
        <v>45183</v>
      </c>
      <c r="D189" s="29">
        <v>41.22</v>
      </c>
      <c r="E189" s="29">
        <v>28.7</v>
      </c>
      <c r="F189" s="29">
        <v>18.2</v>
      </c>
      <c r="G189" s="29">
        <v>26.18</v>
      </c>
      <c r="H189" s="29">
        <v>186</v>
      </c>
    </row>
    <row r="190" spans="1:8" ht="15.75" customHeight="1" x14ac:dyDescent="0.5">
      <c r="A190" s="27">
        <v>189</v>
      </c>
      <c r="B190" s="27">
        <f t="shared" si="14"/>
        <v>5</v>
      </c>
      <c r="C190" s="55">
        <f t="shared" si="15"/>
        <v>45184</v>
      </c>
      <c r="D190" s="29">
        <v>59.2</v>
      </c>
      <c r="E190" s="29">
        <v>13.9</v>
      </c>
      <c r="F190" s="29">
        <v>3.7</v>
      </c>
      <c r="G190" s="29">
        <v>34.070000000000007</v>
      </c>
      <c r="H190" s="29">
        <v>167</v>
      </c>
    </row>
    <row r="191" spans="1:8" ht="15.75" customHeight="1" x14ac:dyDescent="0.5">
      <c r="A191" s="27">
        <v>190</v>
      </c>
      <c r="B191" s="27">
        <f t="shared" si="14"/>
        <v>6</v>
      </c>
      <c r="C191" s="55">
        <f t="shared" si="15"/>
        <v>45185</v>
      </c>
      <c r="D191" s="29">
        <v>6.74</v>
      </c>
      <c r="E191" s="29">
        <v>12.1</v>
      </c>
      <c r="F191" s="29">
        <v>23.4</v>
      </c>
      <c r="G191" s="29">
        <v>18.560000000000002</v>
      </c>
      <c r="H191" s="29">
        <v>83</v>
      </c>
    </row>
    <row r="192" spans="1:8" ht="15.75" customHeight="1" x14ac:dyDescent="0.5">
      <c r="A192" s="27">
        <v>191</v>
      </c>
      <c r="B192" s="27">
        <f t="shared" si="14"/>
        <v>7</v>
      </c>
      <c r="C192" s="55">
        <f t="shared" si="15"/>
        <v>45186</v>
      </c>
      <c r="D192" s="29">
        <v>15.9</v>
      </c>
      <c r="E192" s="29">
        <v>41.1</v>
      </c>
      <c r="F192" s="29">
        <v>5.8</v>
      </c>
      <c r="G192" s="29">
        <v>22.18</v>
      </c>
      <c r="H192" s="29">
        <v>114</v>
      </c>
    </row>
    <row r="193" spans="1:8" ht="15.75" customHeight="1" x14ac:dyDescent="0.5">
      <c r="A193" s="27">
        <v>192</v>
      </c>
      <c r="B193" s="27">
        <f t="shared" si="14"/>
        <v>1</v>
      </c>
      <c r="C193" s="55">
        <f t="shared" si="15"/>
        <v>45187</v>
      </c>
      <c r="D193" s="29">
        <v>21.1</v>
      </c>
      <c r="E193" s="29">
        <v>10.8</v>
      </c>
      <c r="F193" s="29">
        <v>6</v>
      </c>
      <c r="G193" s="29">
        <v>10.549999999999999</v>
      </c>
      <c r="H193" s="29">
        <v>116</v>
      </c>
    </row>
    <row r="194" spans="1:8" ht="15.75" customHeight="1" x14ac:dyDescent="0.5">
      <c r="A194" s="27">
        <v>193</v>
      </c>
      <c r="B194" s="27">
        <f t="shared" ref="B194:B201" si="16">WEEKDAY(C194,2)</f>
        <v>2</v>
      </c>
      <c r="C194" s="55">
        <f t="shared" ref="C194:C200" si="17">+C195-1</f>
        <v>45188</v>
      </c>
      <c r="D194" s="29">
        <v>12.44</v>
      </c>
      <c r="E194" s="29">
        <v>4.0999999999999996</v>
      </c>
      <c r="F194" s="29">
        <v>31.6</v>
      </c>
      <c r="G194" s="29">
        <v>11.129999999999999</v>
      </c>
      <c r="H194" s="29">
        <v>62</v>
      </c>
    </row>
    <row r="195" spans="1:8" ht="15.75" customHeight="1" x14ac:dyDescent="0.5">
      <c r="A195" s="27">
        <v>194</v>
      </c>
      <c r="B195" s="27">
        <f t="shared" si="16"/>
        <v>3</v>
      </c>
      <c r="C195" s="55">
        <f t="shared" si="17"/>
        <v>45189</v>
      </c>
      <c r="D195" s="29">
        <v>41.36</v>
      </c>
      <c r="E195" s="29">
        <v>42</v>
      </c>
      <c r="F195" s="29">
        <v>3.6</v>
      </c>
      <c r="G195" s="29">
        <v>36.24</v>
      </c>
      <c r="H195" s="29">
        <v>204</v>
      </c>
    </row>
    <row r="196" spans="1:8" ht="15.75" customHeight="1" x14ac:dyDescent="0.5">
      <c r="A196" s="27">
        <v>195</v>
      </c>
      <c r="B196" s="27">
        <f t="shared" si="16"/>
        <v>4</v>
      </c>
      <c r="C196" s="55">
        <f t="shared" si="17"/>
        <v>45190</v>
      </c>
      <c r="D196" s="29">
        <v>32.94</v>
      </c>
      <c r="E196" s="29">
        <v>35.6</v>
      </c>
      <c r="F196" s="29">
        <v>6</v>
      </c>
      <c r="G196" s="29">
        <v>17.100000000000001</v>
      </c>
      <c r="H196" s="29">
        <v>184</v>
      </c>
    </row>
    <row r="197" spans="1:8" ht="15.75" customHeight="1" x14ac:dyDescent="0.5">
      <c r="A197" s="27">
        <v>196</v>
      </c>
      <c r="B197" s="27">
        <f t="shared" si="16"/>
        <v>5</v>
      </c>
      <c r="C197" s="55">
        <f t="shared" si="17"/>
        <v>45191</v>
      </c>
      <c r="D197" s="29">
        <v>14.64</v>
      </c>
      <c r="E197" s="29">
        <v>3.7</v>
      </c>
      <c r="F197" s="29">
        <v>13.8</v>
      </c>
      <c r="G197" s="29">
        <v>0.14999999999999947</v>
      </c>
      <c r="H197" s="29">
        <v>91</v>
      </c>
    </row>
    <row r="198" spans="1:8" ht="15.75" customHeight="1" x14ac:dyDescent="0.5">
      <c r="A198" s="27">
        <v>197</v>
      </c>
      <c r="B198" s="27">
        <f t="shared" si="16"/>
        <v>6</v>
      </c>
      <c r="C198" s="55">
        <f t="shared" si="17"/>
        <v>45192</v>
      </c>
      <c r="D198" s="29">
        <v>27.84</v>
      </c>
      <c r="E198" s="29">
        <v>4.9000000000000004</v>
      </c>
      <c r="F198" s="29">
        <v>8.1</v>
      </c>
      <c r="G198" s="29">
        <v>8.6300000000000008</v>
      </c>
      <c r="H198" s="29">
        <v>116</v>
      </c>
    </row>
    <row r="199" spans="1:8" ht="15.75" customHeight="1" x14ac:dyDescent="0.5">
      <c r="A199" s="27">
        <v>198</v>
      </c>
      <c r="B199" s="27">
        <f t="shared" si="16"/>
        <v>7</v>
      </c>
      <c r="C199" s="55">
        <f t="shared" si="17"/>
        <v>45193</v>
      </c>
      <c r="D199" s="29">
        <v>44.4</v>
      </c>
      <c r="E199" s="29">
        <v>9.3000000000000007</v>
      </c>
      <c r="F199" s="29">
        <v>6.4</v>
      </c>
      <c r="G199" s="29">
        <v>19.79</v>
      </c>
      <c r="H199" s="29">
        <v>139</v>
      </c>
    </row>
    <row r="200" spans="1:8" ht="15.75" customHeight="1" x14ac:dyDescent="0.5">
      <c r="A200" s="27">
        <v>199</v>
      </c>
      <c r="B200" s="27">
        <f t="shared" si="16"/>
        <v>1</v>
      </c>
      <c r="C200" s="55">
        <f t="shared" si="17"/>
        <v>45194</v>
      </c>
      <c r="D200" s="29">
        <v>57.720000000000006</v>
      </c>
      <c r="E200" s="29">
        <v>42</v>
      </c>
      <c r="F200" s="29">
        <v>66.2</v>
      </c>
      <c r="G200" s="29">
        <v>22.879999999999995</v>
      </c>
      <c r="H200" s="29">
        <v>235.5</v>
      </c>
    </row>
    <row r="201" spans="1:8" ht="15.75" customHeight="1" x14ac:dyDescent="0.5">
      <c r="A201" s="27">
        <v>200</v>
      </c>
      <c r="B201" s="27">
        <f t="shared" si="16"/>
        <v>2</v>
      </c>
      <c r="C201" s="55">
        <v>45195</v>
      </c>
      <c r="D201" s="29">
        <v>52.42</v>
      </c>
      <c r="E201" s="29">
        <v>8.6</v>
      </c>
      <c r="F201" s="29">
        <v>8.6999999999999993</v>
      </c>
      <c r="G201" s="29">
        <v>1</v>
      </c>
      <c r="H201" s="29">
        <v>139</v>
      </c>
    </row>
    <row r="202" spans="1:8" ht="15.75" customHeight="1" x14ac:dyDescent="0.5"/>
    <row r="203" spans="1:8" ht="15.75" customHeight="1" x14ac:dyDescent="0.5"/>
    <row r="204" spans="1:8" ht="15.75" customHeight="1" x14ac:dyDescent="0.5"/>
    <row r="205" spans="1:8" ht="15.75" customHeight="1" x14ac:dyDescent="0.5"/>
    <row r="206" spans="1:8" ht="15.75" customHeight="1" x14ac:dyDescent="0.5"/>
    <row r="207" spans="1:8" ht="15.75" customHeight="1" x14ac:dyDescent="0.5"/>
    <row r="208" spans="1: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H1" xr:uid="{DC51644F-52B2-E24D-85DA-AFB8901C6F30}">
    <sortState xmlns:xlrd2="http://schemas.microsoft.com/office/spreadsheetml/2017/richdata2" ref="A2:H201">
      <sortCondition ref="A1:A201"/>
    </sortState>
  </autoFilter>
  <mergeCells count="1">
    <mergeCell ref="J3:U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11B5B-DC43-4581-B917-A4333BA5FD02}">
  <dimension ref="A1:H1000"/>
  <sheetViews>
    <sheetView showGridLines="0" zoomScale="42" zoomScaleNormal="200" workbookViewId="0">
      <selection activeCell="R58" sqref="R58"/>
    </sheetView>
  </sheetViews>
  <sheetFormatPr defaultColWidth="11.1875" defaultRowHeight="15" customHeight="1" x14ac:dyDescent="0.5"/>
  <cols>
    <col min="1" max="2" width="10.5" customWidth="1"/>
    <col min="3" max="3" width="14.5" bestFit="1" customWidth="1"/>
    <col min="4" max="4" width="16.0625" style="4" bestFit="1" customWidth="1"/>
    <col min="5" max="5" width="11.5625" bestFit="1" customWidth="1"/>
    <col min="6" max="6" width="15.5625" bestFit="1" customWidth="1"/>
    <col min="7" max="7" width="13.1875" bestFit="1" customWidth="1"/>
    <col min="8" max="8" width="12" bestFit="1" customWidth="1"/>
    <col min="9" max="15" width="10.5" customWidth="1"/>
  </cols>
  <sheetData>
    <row r="1" spans="1:8" ht="25.9" customHeight="1" x14ac:dyDescent="0.5">
      <c r="A1" s="80" t="s">
        <v>0</v>
      </c>
      <c r="B1" s="80" t="s">
        <v>17</v>
      </c>
      <c r="C1" s="80" t="s">
        <v>1</v>
      </c>
      <c r="D1" s="81" t="s">
        <v>12</v>
      </c>
      <c r="E1" s="81" t="s">
        <v>13</v>
      </c>
      <c r="F1" s="81" t="s">
        <v>14</v>
      </c>
      <c r="G1" s="82" t="s">
        <v>15</v>
      </c>
      <c r="H1" s="81" t="s">
        <v>16</v>
      </c>
    </row>
    <row r="2" spans="1:8" ht="15.75" customHeight="1" x14ac:dyDescent="0.5">
      <c r="A2" s="27">
        <v>1</v>
      </c>
      <c r="B2" s="27">
        <f t="shared" ref="B2:B65" si="0">WEEKDAY(C2,2)</f>
        <v>6</v>
      </c>
      <c r="C2" s="55">
        <f t="shared" ref="C2:C65" si="1">+C3-1</f>
        <v>44996</v>
      </c>
      <c r="D2" s="29">
        <v>56.02</v>
      </c>
      <c r="E2" s="29">
        <v>37.799999999999997</v>
      </c>
      <c r="F2" s="29">
        <v>69.2</v>
      </c>
      <c r="G2" s="29">
        <v>14.229999999999993</v>
      </c>
      <c r="H2" s="29">
        <v>236</v>
      </c>
    </row>
    <row r="3" spans="1:8" ht="15.75" customHeight="1" x14ac:dyDescent="0.5">
      <c r="A3" s="27">
        <v>2</v>
      </c>
      <c r="B3" s="27">
        <f t="shared" si="0"/>
        <v>7</v>
      </c>
      <c r="C3" s="55">
        <f t="shared" si="1"/>
        <v>44997</v>
      </c>
      <c r="D3" s="29">
        <v>10.9</v>
      </c>
      <c r="E3" s="29">
        <v>39.299999999999997</v>
      </c>
      <c r="F3" s="29">
        <v>45.1</v>
      </c>
      <c r="G3" s="29">
        <v>6.0599999999999952</v>
      </c>
      <c r="H3" s="29">
        <v>122</v>
      </c>
    </row>
    <row r="4" spans="1:8" ht="15.75" customHeight="1" x14ac:dyDescent="0.5">
      <c r="A4" s="27">
        <v>3</v>
      </c>
      <c r="B4" s="27">
        <f t="shared" si="0"/>
        <v>1</v>
      </c>
      <c r="C4" s="55">
        <f t="shared" si="1"/>
        <v>44998</v>
      </c>
      <c r="D4" s="29">
        <v>12.44</v>
      </c>
      <c r="E4" s="29">
        <v>45.9</v>
      </c>
      <c r="F4" s="29">
        <v>69.3</v>
      </c>
      <c r="G4" s="29">
        <v>16.95</v>
      </c>
      <c r="H4" s="29">
        <v>96</v>
      </c>
    </row>
    <row r="5" spans="1:8" ht="15.75" customHeight="1" x14ac:dyDescent="0.5">
      <c r="A5" s="27">
        <v>4</v>
      </c>
      <c r="B5" s="27">
        <f t="shared" si="0"/>
        <v>2</v>
      </c>
      <c r="C5" s="55">
        <f t="shared" si="1"/>
        <v>44999</v>
      </c>
      <c r="D5" s="29">
        <v>31.3</v>
      </c>
      <c r="E5" s="29">
        <v>41.3</v>
      </c>
      <c r="F5" s="29">
        <v>58.5</v>
      </c>
      <c r="G5" s="29">
        <v>12.399999999999995</v>
      </c>
      <c r="H5" s="29">
        <v>197</v>
      </c>
    </row>
    <row r="6" spans="1:8" ht="15.75" customHeight="1" x14ac:dyDescent="0.5">
      <c r="A6" s="27">
        <v>5</v>
      </c>
      <c r="B6" s="27">
        <f t="shared" si="0"/>
        <v>3</v>
      </c>
      <c r="C6" s="55">
        <f t="shared" si="1"/>
        <v>45000</v>
      </c>
      <c r="D6" s="29">
        <v>46.160000000000004</v>
      </c>
      <c r="E6" s="29">
        <v>10.8</v>
      </c>
      <c r="F6" s="29">
        <v>58.4</v>
      </c>
      <c r="G6" s="29">
        <v>0.12000000000000455</v>
      </c>
      <c r="H6" s="29">
        <v>137</v>
      </c>
    </row>
    <row r="7" spans="1:8" ht="15.75" customHeight="1" x14ac:dyDescent="0.5">
      <c r="A7" s="27">
        <v>6</v>
      </c>
      <c r="B7" s="27">
        <f t="shared" si="0"/>
        <v>4</v>
      </c>
      <c r="C7" s="55">
        <f t="shared" si="1"/>
        <v>45001</v>
      </c>
      <c r="D7" s="29">
        <v>6.74</v>
      </c>
      <c r="E7" s="29">
        <v>48.9</v>
      </c>
      <c r="F7" s="29">
        <v>75</v>
      </c>
      <c r="G7" s="29">
        <v>15.32</v>
      </c>
      <c r="H7" s="29">
        <v>86</v>
      </c>
    </row>
    <row r="8" spans="1:8" ht="15.75" customHeight="1" x14ac:dyDescent="0.5">
      <c r="A8" s="27">
        <v>7</v>
      </c>
      <c r="B8" s="27">
        <f t="shared" si="0"/>
        <v>5</v>
      </c>
      <c r="C8" s="55">
        <f t="shared" si="1"/>
        <v>45002</v>
      </c>
      <c r="D8" s="29">
        <v>13.5</v>
      </c>
      <c r="E8" s="29">
        <v>32.799999999999997</v>
      </c>
      <c r="F8" s="29">
        <v>23.5</v>
      </c>
      <c r="G8" s="29">
        <v>12.749999999999998</v>
      </c>
      <c r="H8" s="29">
        <v>123</v>
      </c>
    </row>
    <row r="9" spans="1:8" ht="15.75" customHeight="1" x14ac:dyDescent="0.5">
      <c r="A9" s="27">
        <v>8</v>
      </c>
      <c r="B9" s="27">
        <f t="shared" si="0"/>
        <v>6</v>
      </c>
      <c r="C9" s="55">
        <f t="shared" si="1"/>
        <v>45003</v>
      </c>
      <c r="D9" s="29">
        <v>31.04</v>
      </c>
      <c r="E9" s="29">
        <v>19.600000000000001</v>
      </c>
      <c r="F9" s="29">
        <v>11.6</v>
      </c>
      <c r="G9" s="29">
        <v>17.18</v>
      </c>
      <c r="H9" s="29">
        <v>152</v>
      </c>
    </row>
    <row r="10" spans="1:8" ht="15.75" customHeight="1" x14ac:dyDescent="0.5">
      <c r="A10" s="27">
        <v>9</v>
      </c>
      <c r="B10" s="27">
        <f t="shared" si="0"/>
        <v>7</v>
      </c>
      <c r="C10" s="55">
        <f t="shared" si="1"/>
        <v>45004</v>
      </c>
      <c r="D10" s="29">
        <v>9.7200000000000006</v>
      </c>
      <c r="E10" s="29">
        <v>2.1</v>
      </c>
      <c r="F10" s="29">
        <v>1</v>
      </c>
      <c r="G10" s="29">
        <v>1.5100000000000002</v>
      </c>
      <c r="H10" s="29">
        <v>54</v>
      </c>
    </row>
    <row r="11" spans="1:8" ht="15.75" customHeight="1" x14ac:dyDescent="0.5">
      <c r="A11" s="27">
        <v>10</v>
      </c>
      <c r="B11" s="27">
        <f t="shared" si="0"/>
        <v>1</v>
      </c>
      <c r="C11" s="55">
        <f t="shared" si="1"/>
        <v>45005</v>
      </c>
      <c r="D11" s="29">
        <v>40.96</v>
      </c>
      <c r="E11" s="29">
        <v>2.6</v>
      </c>
      <c r="F11" s="29">
        <v>21.2</v>
      </c>
      <c r="G11" s="29">
        <v>12.8</v>
      </c>
      <c r="H11" s="29">
        <v>119</v>
      </c>
    </row>
    <row r="12" spans="1:8" ht="15.75" customHeight="1" x14ac:dyDescent="0.5">
      <c r="A12" s="27">
        <v>11</v>
      </c>
      <c r="B12" s="27">
        <f t="shared" si="0"/>
        <v>2</v>
      </c>
      <c r="C12" s="55">
        <f t="shared" si="1"/>
        <v>45006</v>
      </c>
      <c r="D12" s="29">
        <v>23.22</v>
      </c>
      <c r="E12" s="29">
        <v>5.8</v>
      </c>
      <c r="F12" s="29">
        <v>24.2</v>
      </c>
      <c r="G12" s="29">
        <v>19.829999999999998</v>
      </c>
      <c r="H12" s="29">
        <v>95</v>
      </c>
    </row>
    <row r="13" spans="1:8" ht="15.75" customHeight="1" x14ac:dyDescent="0.5">
      <c r="A13" s="27">
        <v>12</v>
      </c>
      <c r="B13" s="27">
        <f t="shared" si="0"/>
        <v>3</v>
      </c>
      <c r="C13" s="55">
        <f t="shared" si="1"/>
        <v>45007</v>
      </c>
      <c r="D13" s="29">
        <v>50.94</v>
      </c>
      <c r="E13" s="29">
        <v>24</v>
      </c>
      <c r="F13" s="29">
        <v>4</v>
      </c>
      <c r="G13" s="29">
        <v>31.869999999999997</v>
      </c>
      <c r="H13" s="29">
        <v>151.5</v>
      </c>
    </row>
    <row r="14" spans="1:8" ht="15.75" customHeight="1" x14ac:dyDescent="0.5">
      <c r="A14" s="27">
        <v>13</v>
      </c>
      <c r="B14" s="27">
        <f t="shared" si="0"/>
        <v>4</v>
      </c>
      <c r="C14" s="55">
        <f t="shared" si="1"/>
        <v>45008</v>
      </c>
      <c r="D14" s="29">
        <v>10.76</v>
      </c>
      <c r="E14" s="29">
        <v>35.1</v>
      </c>
      <c r="F14" s="29">
        <v>65.900000000000006</v>
      </c>
      <c r="G14" s="29">
        <v>17.100000000000001</v>
      </c>
      <c r="H14" s="29">
        <v>95</v>
      </c>
    </row>
    <row r="15" spans="1:8" ht="15.75" customHeight="1" x14ac:dyDescent="0.5">
      <c r="A15" s="27">
        <v>14</v>
      </c>
      <c r="B15" s="27">
        <f t="shared" si="0"/>
        <v>5</v>
      </c>
      <c r="C15" s="55">
        <f t="shared" si="1"/>
        <v>45009</v>
      </c>
      <c r="D15" s="29">
        <v>26.5</v>
      </c>
      <c r="E15" s="29">
        <v>7.6</v>
      </c>
      <c r="F15" s="29">
        <v>7.2</v>
      </c>
      <c r="G15" s="29">
        <v>17.100000000000001</v>
      </c>
      <c r="H15" s="29">
        <v>113</v>
      </c>
    </row>
    <row r="16" spans="1:8" ht="15.75" customHeight="1" x14ac:dyDescent="0.5">
      <c r="A16" s="27">
        <v>15</v>
      </c>
      <c r="B16" s="27">
        <f t="shared" si="0"/>
        <v>6</v>
      </c>
      <c r="C16" s="55">
        <f t="shared" si="1"/>
        <v>45010</v>
      </c>
      <c r="D16" s="29">
        <v>44.82</v>
      </c>
      <c r="E16" s="29">
        <v>32.9</v>
      </c>
      <c r="F16" s="29">
        <v>46</v>
      </c>
      <c r="G16" s="29">
        <v>18.459999999999997</v>
      </c>
      <c r="H16" s="29">
        <v>191</v>
      </c>
    </row>
    <row r="17" spans="1:8" ht="15.75" customHeight="1" x14ac:dyDescent="0.5">
      <c r="A17" s="27">
        <v>16</v>
      </c>
      <c r="B17" s="27">
        <f t="shared" si="0"/>
        <v>7</v>
      </c>
      <c r="C17" s="55">
        <f t="shared" si="1"/>
        <v>45011</v>
      </c>
      <c r="D17" s="29">
        <v>42.08</v>
      </c>
      <c r="E17" s="29">
        <v>47.7</v>
      </c>
      <c r="F17" s="29">
        <v>52.9</v>
      </c>
      <c r="G17" s="29">
        <v>22.23</v>
      </c>
      <c r="H17" s="29">
        <v>240</v>
      </c>
    </row>
    <row r="18" spans="1:8" ht="15.75" customHeight="1" x14ac:dyDescent="0.5">
      <c r="A18" s="27">
        <v>17</v>
      </c>
      <c r="B18" s="27">
        <f t="shared" si="0"/>
        <v>1</v>
      </c>
      <c r="C18" s="55">
        <f t="shared" si="1"/>
        <v>45012</v>
      </c>
      <c r="D18" s="29">
        <v>89.06</v>
      </c>
      <c r="E18" s="29">
        <v>36.6</v>
      </c>
      <c r="F18" s="29">
        <v>93.625</v>
      </c>
      <c r="G18" s="29">
        <v>23.379999999999995</v>
      </c>
      <c r="H18" s="29">
        <v>135</v>
      </c>
    </row>
    <row r="19" spans="1:8" ht="15.75" customHeight="1" x14ac:dyDescent="0.5">
      <c r="A19" s="27">
        <v>18</v>
      </c>
      <c r="B19" s="27">
        <f t="shared" si="0"/>
        <v>2</v>
      </c>
      <c r="C19" s="55">
        <f t="shared" si="1"/>
        <v>45013</v>
      </c>
      <c r="D19" s="29">
        <v>62.279999999999994</v>
      </c>
      <c r="E19" s="29">
        <v>39.6</v>
      </c>
      <c r="F19" s="29">
        <v>55.8</v>
      </c>
      <c r="G19" s="29">
        <v>25.619999999999997</v>
      </c>
      <c r="H19" s="29">
        <v>258</v>
      </c>
    </row>
    <row r="20" spans="1:8" ht="15.75" customHeight="1" x14ac:dyDescent="0.5">
      <c r="A20" s="27">
        <v>19</v>
      </c>
      <c r="B20" s="27">
        <f t="shared" si="0"/>
        <v>3</v>
      </c>
      <c r="C20" s="55">
        <f t="shared" si="1"/>
        <v>45014</v>
      </c>
      <c r="D20" s="29">
        <v>14.84</v>
      </c>
      <c r="E20" s="29">
        <v>20.5</v>
      </c>
      <c r="F20" s="29">
        <v>18.3</v>
      </c>
      <c r="G20" s="29">
        <v>9.8500000000000014</v>
      </c>
      <c r="H20" s="29">
        <v>127</v>
      </c>
    </row>
    <row r="21" spans="1:8" ht="15.75" customHeight="1" x14ac:dyDescent="0.5">
      <c r="A21" s="27">
        <v>20</v>
      </c>
      <c r="B21" s="27">
        <f t="shared" si="0"/>
        <v>4</v>
      </c>
      <c r="C21" s="55">
        <f t="shared" si="1"/>
        <v>45015</v>
      </c>
      <c r="D21" s="29">
        <v>32.46</v>
      </c>
      <c r="E21" s="29">
        <v>23.9</v>
      </c>
      <c r="F21" s="29">
        <v>19.100000000000001</v>
      </c>
      <c r="G21" s="29">
        <v>19.04</v>
      </c>
      <c r="H21" s="29">
        <v>148</v>
      </c>
    </row>
    <row r="22" spans="1:8" ht="15.75" customHeight="1" x14ac:dyDescent="0.5">
      <c r="A22" s="27">
        <v>21</v>
      </c>
      <c r="B22" s="27">
        <f t="shared" si="0"/>
        <v>5</v>
      </c>
      <c r="C22" s="55">
        <f t="shared" si="1"/>
        <v>45016</v>
      </c>
      <c r="D22" s="29">
        <v>46.68</v>
      </c>
      <c r="E22" s="29">
        <v>27.7</v>
      </c>
      <c r="F22" s="29">
        <v>53.4</v>
      </c>
      <c r="G22" s="29">
        <v>14.329999999999998</v>
      </c>
      <c r="H22" s="29">
        <v>188</v>
      </c>
    </row>
    <row r="23" spans="1:8" ht="15.75" customHeight="1" x14ac:dyDescent="0.5">
      <c r="A23" s="27">
        <v>22</v>
      </c>
      <c r="B23" s="27">
        <f t="shared" si="0"/>
        <v>6</v>
      </c>
      <c r="C23" s="55">
        <f t="shared" si="1"/>
        <v>45017</v>
      </c>
      <c r="D23" s="29">
        <v>48.480000000000004</v>
      </c>
      <c r="E23" s="29">
        <v>76.949999999999989</v>
      </c>
      <c r="F23" s="29">
        <v>23.5</v>
      </c>
      <c r="G23" s="29">
        <v>16.89</v>
      </c>
      <c r="H23" s="29">
        <v>127</v>
      </c>
    </row>
    <row r="24" spans="1:8" ht="15.75" customHeight="1" x14ac:dyDescent="0.5">
      <c r="A24" s="27">
        <v>23</v>
      </c>
      <c r="B24" s="27">
        <f t="shared" si="0"/>
        <v>7</v>
      </c>
      <c r="C24" s="55">
        <f t="shared" si="1"/>
        <v>45018</v>
      </c>
      <c r="D24" s="29">
        <v>11.64</v>
      </c>
      <c r="E24" s="29">
        <v>15.9</v>
      </c>
      <c r="F24" s="29">
        <v>49.6</v>
      </c>
      <c r="G24" s="29">
        <v>9.4299999999999962</v>
      </c>
      <c r="H24" s="29">
        <v>170.89285714285714</v>
      </c>
    </row>
    <row r="25" spans="1:8" ht="15.75" customHeight="1" x14ac:dyDescent="0.5">
      <c r="A25" s="27">
        <v>24</v>
      </c>
      <c r="B25" s="27">
        <f t="shared" si="0"/>
        <v>1</v>
      </c>
      <c r="C25" s="55">
        <f t="shared" si="1"/>
        <v>45019</v>
      </c>
      <c r="D25" s="29">
        <v>49.660000000000004</v>
      </c>
      <c r="E25" s="29">
        <v>16.899999999999999</v>
      </c>
      <c r="F25" s="29">
        <v>26.2</v>
      </c>
      <c r="G25" s="29">
        <v>20.8</v>
      </c>
      <c r="H25" s="29">
        <v>175</v>
      </c>
    </row>
    <row r="26" spans="1:8" ht="15.75" customHeight="1" x14ac:dyDescent="0.5">
      <c r="A26" s="27">
        <v>25</v>
      </c>
      <c r="B26" s="27">
        <f t="shared" si="0"/>
        <v>2</v>
      </c>
      <c r="C26" s="55">
        <f t="shared" si="1"/>
        <v>45020</v>
      </c>
      <c r="D26" s="29">
        <v>20.46</v>
      </c>
      <c r="E26" s="29">
        <v>12.6</v>
      </c>
      <c r="F26" s="29">
        <v>18.3</v>
      </c>
      <c r="G26" s="29">
        <v>5.2099999999999991</v>
      </c>
      <c r="H26" s="29">
        <v>110</v>
      </c>
    </row>
    <row r="27" spans="1:8" ht="15.75" customHeight="1" x14ac:dyDescent="0.5">
      <c r="A27" s="27">
        <v>26</v>
      </c>
      <c r="B27" s="27">
        <f t="shared" si="0"/>
        <v>3</v>
      </c>
      <c r="C27" s="55">
        <f t="shared" si="1"/>
        <v>45021</v>
      </c>
      <c r="D27" s="29">
        <v>59.58</v>
      </c>
      <c r="E27" s="29">
        <v>3.5</v>
      </c>
      <c r="F27" s="29">
        <v>19.5</v>
      </c>
      <c r="G27" s="29">
        <v>20.239999999999998</v>
      </c>
      <c r="H27" s="29">
        <v>139</v>
      </c>
    </row>
    <row r="28" spans="1:8" ht="15.75" customHeight="1" x14ac:dyDescent="0.5">
      <c r="A28" s="27">
        <v>27</v>
      </c>
      <c r="B28" s="27">
        <f t="shared" si="0"/>
        <v>4</v>
      </c>
      <c r="C28" s="55">
        <f t="shared" si="1"/>
        <v>45022</v>
      </c>
      <c r="D28" s="29">
        <v>38.58</v>
      </c>
      <c r="E28" s="29">
        <v>29.3</v>
      </c>
      <c r="F28" s="29">
        <v>12.6</v>
      </c>
      <c r="G28" s="29">
        <v>23.900000000000002</v>
      </c>
      <c r="H28" s="29">
        <v>167</v>
      </c>
    </row>
    <row r="29" spans="1:8" ht="15.75" customHeight="1" x14ac:dyDescent="0.5">
      <c r="A29" s="27">
        <v>28</v>
      </c>
      <c r="B29" s="27">
        <f t="shared" si="0"/>
        <v>5</v>
      </c>
      <c r="C29" s="55">
        <f t="shared" si="1"/>
        <v>45023</v>
      </c>
      <c r="D29" s="29">
        <v>49.019999999999996</v>
      </c>
      <c r="E29" s="29">
        <v>16.7</v>
      </c>
      <c r="F29" s="29">
        <v>22.9</v>
      </c>
      <c r="G29" s="29">
        <v>23.2</v>
      </c>
      <c r="H29" s="29">
        <v>168</v>
      </c>
    </row>
    <row r="30" spans="1:8" ht="15.75" customHeight="1" x14ac:dyDescent="0.5">
      <c r="A30" s="27">
        <v>29</v>
      </c>
      <c r="B30" s="27">
        <f t="shared" si="0"/>
        <v>6</v>
      </c>
      <c r="C30" s="55">
        <f t="shared" si="1"/>
        <v>45024</v>
      </c>
      <c r="D30" s="29">
        <v>52.760000000000005</v>
      </c>
      <c r="E30" s="29">
        <v>27.1</v>
      </c>
      <c r="F30" s="29">
        <v>22.9</v>
      </c>
      <c r="G30" s="29">
        <v>29.270000000000007</v>
      </c>
      <c r="H30" s="29">
        <v>199</v>
      </c>
    </row>
    <row r="31" spans="1:8" ht="15.75" customHeight="1" x14ac:dyDescent="0.5">
      <c r="A31" s="27">
        <v>30</v>
      </c>
      <c r="B31" s="27">
        <f t="shared" si="0"/>
        <v>7</v>
      </c>
      <c r="C31" s="55">
        <f t="shared" si="1"/>
        <v>45025</v>
      </c>
      <c r="D31" s="29">
        <v>15.12</v>
      </c>
      <c r="E31" s="29">
        <v>16</v>
      </c>
      <c r="F31" s="29">
        <v>40.799999999999997</v>
      </c>
      <c r="G31" s="29">
        <v>18.739999999999998</v>
      </c>
      <c r="H31" s="29">
        <v>123</v>
      </c>
    </row>
    <row r="32" spans="1:8" ht="15.75" customHeight="1" x14ac:dyDescent="0.5">
      <c r="A32" s="27">
        <v>31</v>
      </c>
      <c r="B32" s="27">
        <f t="shared" si="0"/>
        <v>1</v>
      </c>
      <c r="C32" s="55">
        <f t="shared" si="1"/>
        <v>45026</v>
      </c>
      <c r="D32" s="29">
        <v>59.58</v>
      </c>
      <c r="E32" s="29">
        <v>28.3</v>
      </c>
      <c r="F32" s="29">
        <v>43.2</v>
      </c>
      <c r="G32" s="29">
        <v>26.159999999999997</v>
      </c>
      <c r="H32" s="29">
        <v>231</v>
      </c>
    </row>
    <row r="33" spans="1:8" ht="15.75" customHeight="1" x14ac:dyDescent="0.5">
      <c r="A33" s="27">
        <v>32</v>
      </c>
      <c r="B33" s="27">
        <f t="shared" si="0"/>
        <v>2</v>
      </c>
      <c r="C33" s="55">
        <f t="shared" si="1"/>
        <v>45027</v>
      </c>
      <c r="D33" s="29">
        <v>92.987500000000011</v>
      </c>
      <c r="E33" s="29">
        <v>17.399999999999999</v>
      </c>
      <c r="F33" s="29">
        <v>38.6</v>
      </c>
      <c r="G33" s="29">
        <v>37.253750000000011</v>
      </c>
      <c r="H33" s="29">
        <v>126</v>
      </c>
    </row>
    <row r="34" spans="1:8" ht="15.75" customHeight="1" x14ac:dyDescent="0.5">
      <c r="A34" s="27">
        <v>33</v>
      </c>
      <c r="B34" s="27">
        <f t="shared" si="0"/>
        <v>3</v>
      </c>
      <c r="C34" s="55">
        <f t="shared" si="1"/>
        <v>45028</v>
      </c>
      <c r="D34" s="29">
        <v>20.440000000000001</v>
      </c>
      <c r="E34" s="29">
        <v>1.5</v>
      </c>
      <c r="F34" s="29">
        <v>30</v>
      </c>
      <c r="G34" s="29">
        <v>18.47</v>
      </c>
      <c r="H34" s="29">
        <v>112</v>
      </c>
    </row>
    <row r="35" spans="1:8" ht="15.75" customHeight="1" x14ac:dyDescent="0.5">
      <c r="A35" s="27">
        <v>34</v>
      </c>
      <c r="B35" s="27">
        <f t="shared" si="0"/>
        <v>4</v>
      </c>
      <c r="C35" s="55">
        <f t="shared" si="1"/>
        <v>45029</v>
      </c>
      <c r="D35" s="29">
        <v>61.120000000000005</v>
      </c>
      <c r="E35" s="29">
        <v>20</v>
      </c>
      <c r="F35" s="29">
        <v>0.3</v>
      </c>
      <c r="G35" s="29">
        <v>36.440000000000005</v>
      </c>
      <c r="H35" s="29">
        <v>184</v>
      </c>
    </row>
    <row r="36" spans="1:8" ht="15.75" customHeight="1" x14ac:dyDescent="0.5">
      <c r="A36" s="27">
        <v>35</v>
      </c>
      <c r="B36" s="27">
        <f t="shared" si="0"/>
        <v>5</v>
      </c>
      <c r="C36" s="55">
        <f t="shared" si="1"/>
        <v>45030</v>
      </c>
      <c r="D36" s="29">
        <v>24.14</v>
      </c>
      <c r="E36" s="29">
        <v>1.4</v>
      </c>
      <c r="F36" s="29">
        <v>7.4</v>
      </c>
      <c r="G36" s="29">
        <v>7.3099999999999987</v>
      </c>
      <c r="H36" s="29">
        <v>91.5</v>
      </c>
    </row>
    <row r="37" spans="1:8" ht="15.75" customHeight="1" x14ac:dyDescent="0.5">
      <c r="A37" s="27">
        <v>36</v>
      </c>
      <c r="B37" s="27">
        <f t="shared" si="0"/>
        <v>6</v>
      </c>
      <c r="C37" s="55">
        <f t="shared" si="1"/>
        <v>45031</v>
      </c>
      <c r="D37" s="29">
        <v>62.14</v>
      </c>
      <c r="E37" s="29">
        <v>4.0999999999999996</v>
      </c>
      <c r="F37" s="29">
        <v>8.5</v>
      </c>
      <c r="G37" s="29">
        <v>27.72</v>
      </c>
      <c r="H37" s="29">
        <v>129</v>
      </c>
    </row>
    <row r="38" spans="1:8" ht="15.75" customHeight="1" x14ac:dyDescent="0.5">
      <c r="A38" s="27">
        <v>37</v>
      </c>
      <c r="B38" s="27">
        <f t="shared" si="0"/>
        <v>7</v>
      </c>
      <c r="C38" s="55">
        <f t="shared" si="1"/>
        <v>45032</v>
      </c>
      <c r="D38" s="29">
        <v>56.379999999999995</v>
      </c>
      <c r="E38" s="29">
        <v>43.8</v>
      </c>
      <c r="F38" s="29">
        <v>5</v>
      </c>
      <c r="G38" s="29">
        <v>41.756249999999994</v>
      </c>
      <c r="H38" s="29">
        <v>256</v>
      </c>
    </row>
    <row r="39" spans="1:8" ht="15.75" customHeight="1" x14ac:dyDescent="0.5">
      <c r="A39" s="27">
        <v>38</v>
      </c>
      <c r="B39" s="27">
        <f t="shared" si="0"/>
        <v>1</v>
      </c>
      <c r="C39" s="55">
        <f t="shared" si="1"/>
        <v>45033</v>
      </c>
      <c r="D39" s="29">
        <v>24.94</v>
      </c>
      <c r="E39" s="29">
        <v>49.4</v>
      </c>
      <c r="F39" s="29">
        <v>45.7</v>
      </c>
      <c r="G39" s="29">
        <v>13.89</v>
      </c>
      <c r="H39" s="29">
        <v>152</v>
      </c>
    </row>
    <row r="40" spans="1:8" ht="15.75" customHeight="1" x14ac:dyDescent="0.5">
      <c r="A40" s="27">
        <v>39</v>
      </c>
      <c r="B40" s="27">
        <f t="shared" si="0"/>
        <v>2</v>
      </c>
      <c r="C40" s="55">
        <f t="shared" si="1"/>
        <v>45034</v>
      </c>
      <c r="D40" s="29">
        <v>14.620000000000001</v>
      </c>
      <c r="E40" s="29">
        <v>26.7</v>
      </c>
      <c r="F40" s="29">
        <v>35.1</v>
      </c>
      <c r="G40" s="29">
        <v>3.6199999999999992</v>
      </c>
      <c r="H40" s="29">
        <v>114</v>
      </c>
    </row>
    <row r="41" spans="1:8" ht="15.75" customHeight="1" x14ac:dyDescent="0.5">
      <c r="A41" s="27">
        <v>40</v>
      </c>
      <c r="B41" s="27">
        <f t="shared" si="0"/>
        <v>3</v>
      </c>
      <c r="C41" s="55">
        <f t="shared" si="1"/>
        <v>45035</v>
      </c>
      <c r="D41" s="29">
        <v>53.6</v>
      </c>
      <c r="E41" s="29">
        <v>37.700000000000003</v>
      </c>
      <c r="F41" s="29">
        <v>32</v>
      </c>
      <c r="G41" s="29">
        <v>28.850000000000005</v>
      </c>
      <c r="H41" s="29">
        <v>230</v>
      </c>
    </row>
    <row r="42" spans="1:8" ht="15.75" customHeight="1" x14ac:dyDescent="0.5">
      <c r="A42" s="27">
        <v>41</v>
      </c>
      <c r="B42" s="27">
        <f t="shared" si="0"/>
        <v>4</v>
      </c>
      <c r="C42" s="55">
        <f t="shared" si="1"/>
        <v>45036</v>
      </c>
      <c r="D42" s="29">
        <v>45.5</v>
      </c>
      <c r="E42" s="29">
        <v>22.3</v>
      </c>
      <c r="F42" s="29">
        <v>31.6</v>
      </c>
      <c r="G42" s="29">
        <v>18.759999999999998</v>
      </c>
      <c r="H42" s="29">
        <v>179</v>
      </c>
    </row>
    <row r="43" spans="1:8" ht="15.75" customHeight="1" x14ac:dyDescent="0.5">
      <c r="A43" s="27">
        <v>42</v>
      </c>
      <c r="B43" s="27">
        <f t="shared" si="0"/>
        <v>5</v>
      </c>
      <c r="C43" s="55">
        <f t="shared" si="1"/>
        <v>45037</v>
      </c>
      <c r="D43" s="29">
        <v>40.4</v>
      </c>
      <c r="E43" s="29">
        <v>33.4</v>
      </c>
      <c r="F43" s="29">
        <v>38.700000000000003</v>
      </c>
      <c r="G43" s="29">
        <v>18.919999999999995</v>
      </c>
      <c r="H43" s="29">
        <v>186</v>
      </c>
    </row>
    <row r="44" spans="1:8" ht="15.75" customHeight="1" x14ac:dyDescent="0.5">
      <c r="A44" s="27">
        <v>43</v>
      </c>
      <c r="B44" s="27">
        <f t="shared" si="0"/>
        <v>6</v>
      </c>
      <c r="C44" s="55">
        <f t="shared" si="1"/>
        <v>45038</v>
      </c>
      <c r="D44" s="29">
        <v>67.72</v>
      </c>
      <c r="E44" s="29">
        <v>27.7</v>
      </c>
      <c r="F44" s="29">
        <v>1.8</v>
      </c>
      <c r="G44" s="29">
        <v>41.756249999999994</v>
      </c>
      <c r="H44" s="29">
        <v>226</v>
      </c>
    </row>
    <row r="45" spans="1:8" ht="15.75" customHeight="1" x14ac:dyDescent="0.5">
      <c r="A45" s="27">
        <v>44</v>
      </c>
      <c r="B45" s="27">
        <f t="shared" si="0"/>
        <v>7</v>
      </c>
      <c r="C45" s="55">
        <f t="shared" si="1"/>
        <v>45039</v>
      </c>
      <c r="D45" s="29">
        <v>51.38</v>
      </c>
      <c r="E45" s="29">
        <v>8.4</v>
      </c>
      <c r="F45" s="29">
        <v>26.4</v>
      </c>
      <c r="G45" s="29">
        <v>14.33</v>
      </c>
      <c r="H45" s="29">
        <v>149</v>
      </c>
    </row>
    <row r="46" spans="1:8" ht="15.75" customHeight="1" x14ac:dyDescent="0.5">
      <c r="A46" s="27">
        <v>45</v>
      </c>
      <c r="B46" s="27">
        <f t="shared" si="0"/>
        <v>1</v>
      </c>
      <c r="C46" s="55">
        <f t="shared" si="1"/>
        <v>45040</v>
      </c>
      <c r="D46" s="29">
        <v>12.02</v>
      </c>
      <c r="E46" s="29">
        <v>25.7</v>
      </c>
      <c r="F46" s="29">
        <v>43.3</v>
      </c>
      <c r="G46" s="29">
        <v>18.04</v>
      </c>
      <c r="H46" s="29">
        <v>89</v>
      </c>
    </row>
    <row r="47" spans="1:8" ht="15.75" customHeight="1" x14ac:dyDescent="0.5">
      <c r="A47" s="27">
        <v>46</v>
      </c>
      <c r="B47" s="27">
        <f t="shared" si="0"/>
        <v>2</v>
      </c>
      <c r="C47" s="55">
        <f t="shared" si="1"/>
        <v>45041</v>
      </c>
      <c r="D47" s="29">
        <v>42.019999999999996</v>
      </c>
      <c r="E47" s="29">
        <v>22.5</v>
      </c>
      <c r="F47" s="29">
        <v>31.5</v>
      </c>
      <c r="G47" s="29">
        <v>16.159999999999997</v>
      </c>
      <c r="H47" s="29">
        <v>165</v>
      </c>
    </row>
    <row r="48" spans="1:8" ht="15.75" customHeight="1" x14ac:dyDescent="0.5">
      <c r="A48" s="27">
        <v>47</v>
      </c>
      <c r="B48" s="27">
        <f t="shared" si="0"/>
        <v>3</v>
      </c>
      <c r="C48" s="55">
        <f t="shared" si="1"/>
        <v>45042</v>
      </c>
      <c r="D48" s="29">
        <v>18.940000000000001</v>
      </c>
      <c r="E48" s="29">
        <v>9.9</v>
      </c>
      <c r="F48" s="29">
        <v>35.700000000000003</v>
      </c>
      <c r="G48" s="29">
        <v>19.64</v>
      </c>
      <c r="H48" s="29">
        <v>119</v>
      </c>
    </row>
    <row r="49" spans="1:8" ht="15.75" customHeight="1" x14ac:dyDescent="0.5">
      <c r="A49" s="27">
        <v>48</v>
      </c>
      <c r="B49" s="27">
        <f t="shared" si="0"/>
        <v>4</v>
      </c>
      <c r="C49" s="55">
        <f t="shared" si="1"/>
        <v>45043</v>
      </c>
      <c r="D49" s="29">
        <v>52.980000000000004</v>
      </c>
      <c r="E49" s="29">
        <v>41.5</v>
      </c>
      <c r="F49" s="29">
        <v>18.5</v>
      </c>
      <c r="G49" s="29">
        <v>37.340000000000003</v>
      </c>
      <c r="H49" s="29">
        <v>245</v>
      </c>
    </row>
    <row r="50" spans="1:8" ht="15.75" customHeight="1" x14ac:dyDescent="0.5">
      <c r="A50" s="27">
        <v>49</v>
      </c>
      <c r="B50" s="27">
        <f t="shared" si="0"/>
        <v>5</v>
      </c>
      <c r="C50" s="55">
        <f t="shared" si="1"/>
        <v>45044</v>
      </c>
      <c r="D50" s="29">
        <v>46.44</v>
      </c>
      <c r="E50" s="29">
        <v>15.8</v>
      </c>
      <c r="F50" s="29">
        <v>49.9</v>
      </c>
      <c r="G50" s="29">
        <v>10.659999999999997</v>
      </c>
      <c r="H50" s="29">
        <v>149</v>
      </c>
    </row>
    <row r="51" spans="1:8" ht="15.75" customHeight="1" x14ac:dyDescent="0.5">
      <c r="A51" s="27">
        <v>50</v>
      </c>
      <c r="B51" s="27">
        <f t="shared" si="0"/>
        <v>6</v>
      </c>
      <c r="C51" s="55">
        <f t="shared" si="1"/>
        <v>45045</v>
      </c>
      <c r="D51" s="29">
        <v>14.38</v>
      </c>
      <c r="E51" s="29">
        <v>11.7</v>
      </c>
      <c r="F51" s="29">
        <v>36.799999999999997</v>
      </c>
      <c r="G51" s="29">
        <v>17.82</v>
      </c>
      <c r="H51" s="29">
        <v>111</v>
      </c>
    </row>
    <row r="52" spans="1:8" ht="15.75" customHeight="1" x14ac:dyDescent="0.5">
      <c r="A52" s="27">
        <v>51</v>
      </c>
      <c r="B52" s="27">
        <f t="shared" si="0"/>
        <v>7</v>
      </c>
      <c r="C52" s="55">
        <f t="shared" si="1"/>
        <v>45046</v>
      </c>
      <c r="D52" s="29">
        <v>43.96</v>
      </c>
      <c r="E52" s="29">
        <v>3.1</v>
      </c>
      <c r="F52" s="29">
        <v>34.6</v>
      </c>
      <c r="G52" s="29">
        <v>7.6899999999999995</v>
      </c>
      <c r="H52" s="29">
        <v>122</v>
      </c>
    </row>
    <row r="53" spans="1:8" ht="15.75" customHeight="1" x14ac:dyDescent="0.5">
      <c r="A53" s="27">
        <v>52</v>
      </c>
      <c r="B53" s="27">
        <f t="shared" si="0"/>
        <v>1</v>
      </c>
      <c r="C53" s="55">
        <f t="shared" si="1"/>
        <v>45047</v>
      </c>
      <c r="D53" s="29">
        <v>29.080000000000002</v>
      </c>
      <c r="E53" s="29">
        <v>9.6</v>
      </c>
      <c r="F53" s="29">
        <v>3.6</v>
      </c>
      <c r="G53" s="29">
        <v>13.4</v>
      </c>
      <c r="H53" s="29">
        <v>112</v>
      </c>
    </row>
    <row r="54" spans="1:8" ht="15.75" customHeight="1" x14ac:dyDescent="0.5">
      <c r="A54" s="27">
        <v>53</v>
      </c>
      <c r="B54" s="27">
        <f t="shared" si="0"/>
        <v>2</v>
      </c>
      <c r="C54" s="55">
        <f t="shared" si="1"/>
        <v>45048</v>
      </c>
      <c r="D54" s="29">
        <v>44.28</v>
      </c>
      <c r="E54" s="29">
        <v>41.7</v>
      </c>
      <c r="F54" s="29">
        <v>39.6</v>
      </c>
      <c r="G54" s="29">
        <v>26.65</v>
      </c>
      <c r="H54" s="29">
        <v>235</v>
      </c>
    </row>
    <row r="55" spans="1:8" ht="15.75" customHeight="1" x14ac:dyDescent="0.5">
      <c r="A55" s="27">
        <v>54</v>
      </c>
      <c r="B55" s="27">
        <f t="shared" si="0"/>
        <v>3</v>
      </c>
      <c r="C55" s="55">
        <f t="shared" si="1"/>
        <v>45049</v>
      </c>
      <c r="D55" s="29">
        <v>41.519999999999996</v>
      </c>
      <c r="E55" s="29">
        <v>46.2</v>
      </c>
      <c r="F55" s="29">
        <v>58.7</v>
      </c>
      <c r="G55" s="29">
        <v>17.879999999999995</v>
      </c>
      <c r="H55" s="29">
        <v>225</v>
      </c>
    </row>
    <row r="56" spans="1:8" ht="15.75" customHeight="1" x14ac:dyDescent="0.5">
      <c r="A56" s="27">
        <v>55</v>
      </c>
      <c r="B56" s="27">
        <f t="shared" si="0"/>
        <v>4</v>
      </c>
      <c r="C56" s="55">
        <f t="shared" si="1"/>
        <v>45050</v>
      </c>
      <c r="D56" s="29">
        <v>62.54</v>
      </c>
      <c r="E56" s="29">
        <v>28.8</v>
      </c>
      <c r="F56" s="29">
        <v>15.9</v>
      </c>
      <c r="G56" s="29">
        <v>34.31</v>
      </c>
      <c r="H56" s="29">
        <v>220</v>
      </c>
    </row>
    <row r="57" spans="1:8" ht="15.75" customHeight="1" x14ac:dyDescent="0.5">
      <c r="A57" s="27">
        <v>56</v>
      </c>
      <c r="B57" s="27">
        <f t="shared" si="0"/>
        <v>5</v>
      </c>
      <c r="C57" s="55">
        <f t="shared" si="1"/>
        <v>45051</v>
      </c>
      <c r="D57" s="29">
        <v>40.78</v>
      </c>
      <c r="E57" s="29">
        <v>49.4</v>
      </c>
      <c r="F57" s="29">
        <v>60</v>
      </c>
      <c r="G57" s="29">
        <v>20.590000000000003</v>
      </c>
      <c r="H57" s="29">
        <v>240</v>
      </c>
    </row>
    <row r="58" spans="1:8" ht="15.75" customHeight="1" x14ac:dyDescent="0.5">
      <c r="A58" s="27">
        <v>57</v>
      </c>
      <c r="B58" s="27">
        <f t="shared" si="0"/>
        <v>6</v>
      </c>
      <c r="C58" s="55">
        <f t="shared" si="1"/>
        <v>45052</v>
      </c>
      <c r="D58" s="29">
        <v>3.46</v>
      </c>
      <c r="E58" s="29">
        <v>28.1</v>
      </c>
      <c r="F58" s="29">
        <v>41.4</v>
      </c>
      <c r="G58" s="29">
        <v>18.220000000000002</v>
      </c>
      <c r="H58" s="29">
        <v>71</v>
      </c>
    </row>
    <row r="59" spans="1:8" ht="15.75" customHeight="1" x14ac:dyDescent="0.5">
      <c r="A59" s="27">
        <v>58</v>
      </c>
      <c r="B59" s="27">
        <f t="shared" si="0"/>
        <v>7</v>
      </c>
      <c r="C59" s="55">
        <f t="shared" si="1"/>
        <v>45053</v>
      </c>
      <c r="D59" s="29">
        <v>33.239999999999995</v>
      </c>
      <c r="E59" s="29">
        <v>19.2</v>
      </c>
      <c r="F59" s="29">
        <v>16.600000000000001</v>
      </c>
      <c r="G59" s="29">
        <v>16.579999999999998</v>
      </c>
      <c r="H59" s="29">
        <v>133</v>
      </c>
    </row>
    <row r="60" spans="1:8" ht="15.75" customHeight="1" x14ac:dyDescent="0.5">
      <c r="A60" s="27">
        <v>59</v>
      </c>
      <c r="B60" s="27">
        <f t="shared" si="0"/>
        <v>1</v>
      </c>
      <c r="C60" s="55">
        <f t="shared" si="1"/>
        <v>45054</v>
      </c>
      <c r="D60" s="29">
        <v>49.160000000000004</v>
      </c>
      <c r="E60" s="29">
        <v>49.6</v>
      </c>
      <c r="F60" s="29">
        <v>37.700000000000003</v>
      </c>
      <c r="G60" s="29">
        <v>30.8</v>
      </c>
      <c r="H60" s="29">
        <v>239</v>
      </c>
    </row>
    <row r="61" spans="1:8" ht="15.75" customHeight="1" x14ac:dyDescent="0.5">
      <c r="A61" s="27">
        <v>60</v>
      </c>
      <c r="B61" s="27">
        <f t="shared" si="0"/>
        <v>2</v>
      </c>
      <c r="C61" s="55">
        <f t="shared" si="1"/>
        <v>45055</v>
      </c>
      <c r="D61" s="29">
        <v>50.14</v>
      </c>
      <c r="E61" s="29">
        <v>29.5</v>
      </c>
      <c r="F61" s="29">
        <v>9.3000000000000007</v>
      </c>
      <c r="G61" s="29">
        <v>32.1</v>
      </c>
      <c r="H61" s="29">
        <v>186</v>
      </c>
    </row>
    <row r="62" spans="1:8" ht="15.75" customHeight="1" x14ac:dyDescent="0.5">
      <c r="A62" s="27">
        <v>61</v>
      </c>
      <c r="B62" s="27">
        <f t="shared" si="0"/>
        <v>3</v>
      </c>
      <c r="C62" s="55">
        <f t="shared" si="1"/>
        <v>45056</v>
      </c>
      <c r="D62" s="29">
        <v>16.7</v>
      </c>
      <c r="E62" s="29">
        <v>2</v>
      </c>
      <c r="F62" s="29">
        <v>21.4</v>
      </c>
      <c r="G62" s="29">
        <v>17.79</v>
      </c>
      <c r="H62" s="29">
        <v>83</v>
      </c>
    </row>
    <row r="63" spans="1:8" ht="15.75" customHeight="1" x14ac:dyDescent="0.5">
      <c r="A63" s="27">
        <v>62</v>
      </c>
      <c r="B63" s="27">
        <f t="shared" si="0"/>
        <v>4</v>
      </c>
      <c r="C63" s="55">
        <f t="shared" si="1"/>
        <v>45057</v>
      </c>
      <c r="D63" s="29">
        <v>61.260000000000005</v>
      </c>
      <c r="E63" s="29">
        <v>42.7</v>
      </c>
      <c r="F63" s="29">
        <v>54.7</v>
      </c>
      <c r="G63" s="29">
        <v>25.6</v>
      </c>
      <c r="H63" s="29">
        <v>240</v>
      </c>
    </row>
    <row r="64" spans="1:8" ht="15.75" customHeight="1" x14ac:dyDescent="0.5">
      <c r="A64" s="27">
        <v>63</v>
      </c>
      <c r="B64" s="27">
        <f t="shared" si="0"/>
        <v>5</v>
      </c>
      <c r="C64" s="55">
        <f t="shared" si="1"/>
        <v>45058</v>
      </c>
      <c r="D64" s="29">
        <v>53.86</v>
      </c>
      <c r="E64" s="29">
        <v>15.5</v>
      </c>
      <c r="F64" s="29">
        <v>27.3</v>
      </c>
      <c r="G64" s="29">
        <v>20.759999999999998</v>
      </c>
      <c r="H64" s="29">
        <v>170</v>
      </c>
    </row>
    <row r="65" spans="1:8" ht="15.75" customHeight="1" x14ac:dyDescent="0.5">
      <c r="A65" s="27">
        <v>64</v>
      </c>
      <c r="B65" s="27">
        <f t="shared" si="0"/>
        <v>6</v>
      </c>
      <c r="C65" s="55">
        <f t="shared" si="1"/>
        <v>45059</v>
      </c>
      <c r="D65" s="29">
        <v>27.54</v>
      </c>
      <c r="E65" s="29">
        <v>29.6</v>
      </c>
      <c r="F65" s="29">
        <v>8.4</v>
      </c>
      <c r="G65" s="29">
        <v>21.71</v>
      </c>
      <c r="H65" s="29">
        <v>291.75</v>
      </c>
    </row>
    <row r="66" spans="1:8" ht="15.75" customHeight="1" x14ac:dyDescent="0.5">
      <c r="A66" s="27">
        <v>65</v>
      </c>
      <c r="B66" s="27">
        <f t="shared" ref="B66:B129" si="2">WEEKDAY(C66,2)</f>
        <v>7</v>
      </c>
      <c r="C66" s="55">
        <f t="shared" ref="C66:C129" si="3">+C67-1</f>
        <v>45060</v>
      </c>
      <c r="D66" s="29">
        <v>27.22</v>
      </c>
      <c r="E66" s="29">
        <v>42.8</v>
      </c>
      <c r="F66" s="29">
        <v>28.9</v>
      </c>
      <c r="G66" s="29">
        <v>22.949999999999996</v>
      </c>
      <c r="H66" s="29">
        <v>187</v>
      </c>
    </row>
    <row r="67" spans="1:8" ht="15.75" customHeight="1" x14ac:dyDescent="0.5">
      <c r="A67" s="27">
        <v>66</v>
      </c>
      <c r="B67" s="27">
        <f t="shared" si="2"/>
        <v>1</v>
      </c>
      <c r="C67" s="55">
        <f t="shared" si="3"/>
        <v>45061</v>
      </c>
      <c r="D67" s="29">
        <v>21.8</v>
      </c>
      <c r="E67" s="29">
        <v>9.3000000000000007</v>
      </c>
      <c r="F67" s="29">
        <v>0.9</v>
      </c>
      <c r="G67" s="29">
        <v>11.190000000000001</v>
      </c>
      <c r="H67" s="29">
        <v>109</v>
      </c>
    </row>
    <row r="68" spans="1:8" ht="15.75" customHeight="1" x14ac:dyDescent="0.5">
      <c r="A68" s="27">
        <v>67</v>
      </c>
      <c r="B68" s="27">
        <f t="shared" si="2"/>
        <v>2</v>
      </c>
      <c r="C68" s="55">
        <f t="shared" si="3"/>
        <v>45062</v>
      </c>
      <c r="D68" s="29">
        <v>15.3</v>
      </c>
      <c r="E68" s="29">
        <v>24.6</v>
      </c>
      <c r="F68" s="29">
        <v>2.2000000000000002</v>
      </c>
      <c r="G68" s="29">
        <v>14.57</v>
      </c>
      <c r="H68" s="29">
        <v>104</v>
      </c>
    </row>
    <row r="69" spans="1:8" ht="15.75" customHeight="1" x14ac:dyDescent="0.5">
      <c r="A69" s="27">
        <v>68</v>
      </c>
      <c r="B69" s="27">
        <f t="shared" si="2"/>
        <v>3</v>
      </c>
      <c r="C69" s="55">
        <f t="shared" si="3"/>
        <v>45063</v>
      </c>
      <c r="D69" s="29">
        <v>30.860000000000003</v>
      </c>
      <c r="E69" s="29">
        <v>14.5</v>
      </c>
      <c r="F69" s="29">
        <v>10.199999999999999</v>
      </c>
      <c r="G69" s="29">
        <v>17.100000000000001</v>
      </c>
      <c r="H69" s="29">
        <v>135</v>
      </c>
    </row>
    <row r="70" spans="1:8" ht="15.75" customHeight="1" x14ac:dyDescent="0.5">
      <c r="A70" s="27">
        <v>69</v>
      </c>
      <c r="B70" s="27">
        <f t="shared" si="2"/>
        <v>4</v>
      </c>
      <c r="C70" s="55">
        <f t="shared" si="3"/>
        <v>45064</v>
      </c>
      <c r="D70" s="29">
        <v>51.480000000000004</v>
      </c>
      <c r="E70" s="29">
        <v>27.5</v>
      </c>
      <c r="F70" s="29">
        <v>11</v>
      </c>
      <c r="G70" s="29">
        <v>33.090000000000003</v>
      </c>
      <c r="H70" s="29">
        <v>196</v>
      </c>
    </row>
    <row r="71" spans="1:8" ht="15.75" customHeight="1" x14ac:dyDescent="0.5">
      <c r="A71" s="27">
        <v>70</v>
      </c>
      <c r="B71" s="27">
        <f t="shared" si="2"/>
        <v>5</v>
      </c>
      <c r="C71" s="55">
        <f t="shared" si="3"/>
        <v>45065</v>
      </c>
      <c r="D71" s="29">
        <v>48.36</v>
      </c>
      <c r="E71" s="29">
        <v>43.9</v>
      </c>
      <c r="F71" s="29">
        <v>27.2</v>
      </c>
      <c r="G71" s="29">
        <v>32.749999999999993</v>
      </c>
      <c r="H71" s="29">
        <v>229</v>
      </c>
    </row>
    <row r="72" spans="1:8" ht="15.75" customHeight="1" x14ac:dyDescent="0.5">
      <c r="A72" s="27">
        <v>71</v>
      </c>
      <c r="B72" s="27">
        <f t="shared" si="2"/>
        <v>6</v>
      </c>
      <c r="C72" s="55">
        <f t="shared" si="3"/>
        <v>45066</v>
      </c>
      <c r="D72" s="29">
        <v>44.82</v>
      </c>
      <c r="E72" s="29">
        <v>30.6</v>
      </c>
      <c r="F72" s="29">
        <v>38.700000000000003</v>
      </c>
      <c r="G72" s="29">
        <v>19.729999999999997</v>
      </c>
      <c r="H72" s="29">
        <v>196</v>
      </c>
    </row>
    <row r="73" spans="1:8" ht="15.75" customHeight="1" x14ac:dyDescent="0.5">
      <c r="A73" s="27">
        <v>72</v>
      </c>
      <c r="B73" s="27">
        <f t="shared" si="2"/>
        <v>7</v>
      </c>
      <c r="C73" s="55">
        <f t="shared" si="3"/>
        <v>45067</v>
      </c>
      <c r="D73" s="29">
        <v>29.96</v>
      </c>
      <c r="E73" s="29">
        <v>14.3</v>
      </c>
      <c r="F73" s="29">
        <v>31.7</v>
      </c>
      <c r="G73" s="29">
        <v>5.4500000000000028</v>
      </c>
      <c r="H73" s="29">
        <v>129</v>
      </c>
    </row>
    <row r="74" spans="1:8" ht="15.75" customHeight="1" x14ac:dyDescent="0.5">
      <c r="A74" s="27">
        <v>73</v>
      </c>
      <c r="B74" s="27">
        <f t="shared" si="2"/>
        <v>1</v>
      </c>
      <c r="C74" s="55">
        <f t="shared" si="3"/>
        <v>45068</v>
      </c>
      <c r="D74" s="29">
        <v>15.36</v>
      </c>
      <c r="E74" s="29">
        <v>33</v>
      </c>
      <c r="F74" s="29">
        <v>19.3</v>
      </c>
      <c r="G74" s="29">
        <v>11.459999999999999</v>
      </c>
      <c r="H74" s="29">
        <v>106</v>
      </c>
    </row>
    <row r="75" spans="1:8" ht="15.75" customHeight="1" x14ac:dyDescent="0.5">
      <c r="A75" s="27">
        <v>74</v>
      </c>
      <c r="B75" s="27">
        <f t="shared" si="2"/>
        <v>2</v>
      </c>
      <c r="C75" s="55">
        <f t="shared" si="3"/>
        <v>45069</v>
      </c>
      <c r="D75" s="29">
        <v>28.880000000000003</v>
      </c>
      <c r="E75" s="29">
        <v>5.7</v>
      </c>
      <c r="F75" s="29">
        <v>31.3</v>
      </c>
      <c r="G75" s="29">
        <v>3.2699999999999996</v>
      </c>
      <c r="H75" s="29">
        <v>117</v>
      </c>
    </row>
    <row r="76" spans="1:8" ht="15.75" customHeight="1" x14ac:dyDescent="0.5">
      <c r="A76" s="27">
        <v>75</v>
      </c>
      <c r="B76" s="27">
        <f t="shared" si="2"/>
        <v>3</v>
      </c>
      <c r="C76" s="55">
        <f t="shared" si="3"/>
        <v>45070</v>
      </c>
      <c r="D76" s="29">
        <v>50.68</v>
      </c>
      <c r="E76" s="29">
        <v>0</v>
      </c>
      <c r="F76" s="29">
        <v>13.1</v>
      </c>
      <c r="G76" s="29">
        <v>28.4</v>
      </c>
      <c r="H76" s="29">
        <v>187</v>
      </c>
    </row>
    <row r="77" spans="1:8" ht="15.75" customHeight="1" x14ac:dyDescent="0.5">
      <c r="A77" s="27">
        <v>76</v>
      </c>
      <c r="B77" s="27">
        <f t="shared" si="2"/>
        <v>4</v>
      </c>
      <c r="C77" s="55">
        <f t="shared" si="3"/>
        <v>45071</v>
      </c>
      <c r="D77" s="29">
        <v>12.379999999999999</v>
      </c>
      <c r="E77" s="29">
        <v>43.7</v>
      </c>
      <c r="F77" s="29">
        <v>89.4</v>
      </c>
      <c r="G77" s="29">
        <v>7.7799999999999976</v>
      </c>
      <c r="H77" s="29">
        <v>105</v>
      </c>
    </row>
    <row r="78" spans="1:8" ht="15.75" customHeight="1" x14ac:dyDescent="0.5">
      <c r="A78" s="27">
        <v>77</v>
      </c>
      <c r="B78" s="27">
        <f t="shared" si="2"/>
        <v>5</v>
      </c>
      <c r="C78" s="55">
        <f t="shared" si="3"/>
        <v>45072</v>
      </c>
      <c r="D78" s="29">
        <v>13.5</v>
      </c>
      <c r="E78" s="29">
        <v>1.6</v>
      </c>
      <c r="F78" s="29">
        <v>20.7</v>
      </c>
      <c r="G78" s="29">
        <v>15.27</v>
      </c>
      <c r="H78" s="29">
        <v>83</v>
      </c>
    </row>
    <row r="79" spans="1:8" ht="15.75" customHeight="1" x14ac:dyDescent="0.5">
      <c r="A79" s="27">
        <v>78</v>
      </c>
      <c r="B79" s="27">
        <f t="shared" si="2"/>
        <v>6</v>
      </c>
      <c r="C79" s="55">
        <f t="shared" si="3"/>
        <v>45073</v>
      </c>
      <c r="D79" s="29">
        <v>25.1</v>
      </c>
      <c r="E79" s="29">
        <v>28.5</v>
      </c>
      <c r="F79" s="29">
        <v>14.2</v>
      </c>
      <c r="G79" s="29">
        <v>20.62</v>
      </c>
      <c r="H79" s="29">
        <v>149</v>
      </c>
    </row>
    <row r="80" spans="1:8" ht="15.75" customHeight="1" x14ac:dyDescent="0.5">
      <c r="A80" s="27">
        <v>79</v>
      </c>
      <c r="B80" s="27">
        <f t="shared" si="2"/>
        <v>7</v>
      </c>
      <c r="C80" s="55">
        <f t="shared" si="3"/>
        <v>45074</v>
      </c>
      <c r="D80" s="29">
        <v>8.08</v>
      </c>
      <c r="E80" s="29">
        <v>29.9</v>
      </c>
      <c r="F80" s="29">
        <v>9.4</v>
      </c>
      <c r="G80" s="29">
        <v>11.729999999999999</v>
      </c>
      <c r="H80" s="29">
        <v>62</v>
      </c>
    </row>
    <row r="81" spans="1:8" ht="15.75" customHeight="1" x14ac:dyDescent="0.5">
      <c r="A81" s="27">
        <v>80</v>
      </c>
      <c r="B81" s="27">
        <f t="shared" si="2"/>
        <v>1</v>
      </c>
      <c r="C81" s="55">
        <f t="shared" si="3"/>
        <v>45075</v>
      </c>
      <c r="D81" s="29">
        <v>31.2</v>
      </c>
      <c r="E81" s="29">
        <v>7.7</v>
      </c>
      <c r="F81" s="29">
        <v>23.1</v>
      </c>
      <c r="G81" s="29">
        <v>6.2099999999999991</v>
      </c>
      <c r="H81" s="29">
        <v>120</v>
      </c>
    </row>
    <row r="82" spans="1:8" ht="15.75" customHeight="1" x14ac:dyDescent="0.5">
      <c r="A82" s="27">
        <v>81</v>
      </c>
      <c r="B82" s="27">
        <f t="shared" si="2"/>
        <v>2</v>
      </c>
      <c r="C82" s="55">
        <f t="shared" si="3"/>
        <v>45076</v>
      </c>
      <c r="D82" s="29">
        <v>19.28</v>
      </c>
      <c r="E82" s="29">
        <v>26.7</v>
      </c>
      <c r="F82" s="29">
        <v>22.3</v>
      </c>
      <c r="G82" s="29">
        <v>12.070000000000002</v>
      </c>
      <c r="H82" s="29">
        <v>120</v>
      </c>
    </row>
    <row r="83" spans="1:8" ht="15.75" customHeight="1" x14ac:dyDescent="0.5">
      <c r="A83" s="27">
        <v>82</v>
      </c>
      <c r="B83" s="27">
        <f t="shared" si="2"/>
        <v>3</v>
      </c>
      <c r="C83" s="55">
        <f t="shared" si="3"/>
        <v>45077</v>
      </c>
      <c r="D83" s="29">
        <v>96.179999999999993</v>
      </c>
      <c r="E83" s="29">
        <v>4.0999999999999996</v>
      </c>
      <c r="F83" s="29">
        <v>36.9</v>
      </c>
      <c r="G83" s="29">
        <v>11.270000000000001</v>
      </c>
      <c r="H83" s="29">
        <v>128</v>
      </c>
    </row>
    <row r="84" spans="1:8" ht="15.75" customHeight="1" x14ac:dyDescent="0.5">
      <c r="A84" s="27">
        <v>83</v>
      </c>
      <c r="B84" s="27">
        <f t="shared" si="2"/>
        <v>4</v>
      </c>
      <c r="C84" s="55">
        <f t="shared" si="3"/>
        <v>45078</v>
      </c>
      <c r="D84" s="29">
        <v>18.059999999999999</v>
      </c>
      <c r="E84" s="29">
        <v>20.3</v>
      </c>
      <c r="F84" s="29">
        <v>32.5</v>
      </c>
      <c r="G84" s="29">
        <v>4.68</v>
      </c>
      <c r="H84" s="29">
        <v>128</v>
      </c>
    </row>
    <row r="85" spans="1:8" ht="15.75" customHeight="1" x14ac:dyDescent="0.5">
      <c r="A85" s="27">
        <v>84</v>
      </c>
      <c r="B85" s="27">
        <f t="shared" si="2"/>
        <v>5</v>
      </c>
      <c r="C85" s="55">
        <f t="shared" si="3"/>
        <v>45079</v>
      </c>
      <c r="D85" s="29">
        <v>22.68</v>
      </c>
      <c r="E85" s="29">
        <v>44.5</v>
      </c>
      <c r="F85" s="29">
        <v>35.6</v>
      </c>
      <c r="G85" s="29">
        <v>14.849999999999998</v>
      </c>
      <c r="H85" s="29">
        <v>149</v>
      </c>
    </row>
    <row r="86" spans="1:8" ht="15.75" customHeight="1" x14ac:dyDescent="0.5">
      <c r="A86" s="27">
        <v>85</v>
      </c>
      <c r="B86" s="27">
        <f t="shared" si="2"/>
        <v>6</v>
      </c>
      <c r="C86" s="55">
        <f t="shared" si="3"/>
        <v>45080</v>
      </c>
      <c r="D86" s="29">
        <v>45.7</v>
      </c>
      <c r="E86" s="29">
        <v>43</v>
      </c>
      <c r="F86" s="29">
        <v>33.799999999999997</v>
      </c>
      <c r="G86" s="29">
        <v>29.330000000000002</v>
      </c>
      <c r="H86" s="29">
        <v>223</v>
      </c>
    </row>
    <row r="87" spans="1:8" ht="15.75" customHeight="1" x14ac:dyDescent="0.5">
      <c r="A87" s="27">
        <v>86</v>
      </c>
      <c r="B87" s="27">
        <f t="shared" si="2"/>
        <v>7</v>
      </c>
      <c r="C87" s="55">
        <f t="shared" si="3"/>
        <v>45081</v>
      </c>
      <c r="D87" s="29">
        <v>42.64</v>
      </c>
      <c r="E87" s="29">
        <v>18.399999999999999</v>
      </c>
      <c r="F87" s="29">
        <v>65.7</v>
      </c>
      <c r="G87" s="29">
        <v>2.2399999999999984</v>
      </c>
      <c r="H87" s="29">
        <v>159</v>
      </c>
    </row>
    <row r="88" spans="1:8" ht="15.75" customHeight="1" x14ac:dyDescent="0.5">
      <c r="A88" s="27">
        <v>87</v>
      </c>
      <c r="B88" s="27">
        <f t="shared" si="2"/>
        <v>1</v>
      </c>
      <c r="C88" s="55">
        <f t="shared" si="3"/>
        <v>45082</v>
      </c>
      <c r="D88" s="29">
        <v>21.259999999999998</v>
      </c>
      <c r="E88" s="29">
        <v>27.5</v>
      </c>
      <c r="F88" s="29">
        <v>16</v>
      </c>
      <c r="G88" s="29">
        <v>14.979999999999999</v>
      </c>
      <c r="H88" s="29">
        <v>122</v>
      </c>
    </row>
    <row r="89" spans="1:8" ht="15.75" customHeight="1" x14ac:dyDescent="0.5">
      <c r="A89" s="27">
        <v>88</v>
      </c>
      <c r="B89" s="27">
        <f t="shared" si="2"/>
        <v>2</v>
      </c>
      <c r="C89" s="55">
        <f t="shared" si="3"/>
        <v>45083</v>
      </c>
      <c r="D89" s="29">
        <v>28.14</v>
      </c>
      <c r="E89" s="29">
        <v>40.6</v>
      </c>
      <c r="F89" s="29">
        <v>63.2</v>
      </c>
      <c r="G89" s="29">
        <v>6.09</v>
      </c>
      <c r="H89" s="29">
        <v>180</v>
      </c>
    </row>
    <row r="90" spans="1:8" ht="15.75" customHeight="1" x14ac:dyDescent="0.5">
      <c r="A90" s="27">
        <v>89</v>
      </c>
      <c r="B90" s="27">
        <f t="shared" si="2"/>
        <v>3</v>
      </c>
      <c r="C90" s="55">
        <f t="shared" si="3"/>
        <v>45084</v>
      </c>
      <c r="D90" s="29">
        <v>27.66</v>
      </c>
      <c r="E90" s="29">
        <v>76.949999999999989</v>
      </c>
      <c r="F90" s="29">
        <v>73.400000000000006</v>
      </c>
      <c r="G90" s="29">
        <v>12.219999999999995</v>
      </c>
      <c r="H90" s="29">
        <v>147</v>
      </c>
    </row>
    <row r="91" spans="1:8" ht="15.75" customHeight="1" x14ac:dyDescent="0.5">
      <c r="A91" s="27">
        <v>90</v>
      </c>
      <c r="B91" s="27">
        <f t="shared" si="2"/>
        <v>4</v>
      </c>
      <c r="C91" s="55">
        <f t="shared" si="3"/>
        <v>45085</v>
      </c>
      <c r="D91" s="29">
        <v>23.96</v>
      </c>
      <c r="E91" s="29">
        <v>47.8</v>
      </c>
      <c r="F91" s="29">
        <v>51.4</v>
      </c>
      <c r="G91" s="29">
        <v>14.319999999999993</v>
      </c>
      <c r="H91" s="29">
        <v>177</v>
      </c>
    </row>
    <row r="92" spans="1:8" ht="15.75" customHeight="1" x14ac:dyDescent="0.5">
      <c r="A92" s="27">
        <v>91</v>
      </c>
      <c r="B92" s="27">
        <f t="shared" si="2"/>
        <v>5</v>
      </c>
      <c r="C92" s="55">
        <f t="shared" si="3"/>
        <v>45086</v>
      </c>
      <c r="D92" s="29">
        <v>31.860000000000003</v>
      </c>
      <c r="E92" s="29">
        <v>4.9000000000000004</v>
      </c>
      <c r="F92" s="29">
        <v>9.3000000000000007</v>
      </c>
      <c r="G92" s="29">
        <v>12.160000000000002</v>
      </c>
      <c r="H92" s="29">
        <v>93</v>
      </c>
    </row>
    <row r="93" spans="1:8" ht="15.75" customHeight="1" x14ac:dyDescent="0.5">
      <c r="A93" s="27">
        <v>92</v>
      </c>
      <c r="B93" s="27">
        <f t="shared" si="2"/>
        <v>6</v>
      </c>
      <c r="C93" s="55">
        <f t="shared" si="3"/>
        <v>45087</v>
      </c>
      <c r="D93" s="29">
        <v>14.72</v>
      </c>
      <c r="E93" s="29">
        <v>1.5</v>
      </c>
      <c r="F93" s="29">
        <v>33</v>
      </c>
      <c r="G93" s="29">
        <v>10.41</v>
      </c>
      <c r="H93" s="29">
        <v>74</v>
      </c>
    </row>
    <row r="94" spans="1:8" ht="15.75" customHeight="1" x14ac:dyDescent="0.5">
      <c r="A94" s="27">
        <v>93</v>
      </c>
      <c r="B94" s="27">
        <f t="shared" si="2"/>
        <v>7</v>
      </c>
      <c r="C94" s="55">
        <f t="shared" si="3"/>
        <v>45088</v>
      </c>
      <c r="D94" s="29">
        <v>47.54</v>
      </c>
      <c r="E94" s="29">
        <v>33.5</v>
      </c>
      <c r="F94" s="29">
        <v>59</v>
      </c>
      <c r="G94" s="29">
        <v>14.919999999999995</v>
      </c>
      <c r="H94" s="29">
        <v>291.75</v>
      </c>
    </row>
    <row r="95" spans="1:8" ht="15.75" customHeight="1" x14ac:dyDescent="0.5">
      <c r="A95" s="27">
        <v>94</v>
      </c>
      <c r="B95" s="27">
        <f t="shared" si="2"/>
        <v>1</v>
      </c>
      <c r="C95" s="55">
        <f t="shared" si="3"/>
        <v>45089</v>
      </c>
      <c r="D95" s="29">
        <v>56.18</v>
      </c>
      <c r="E95" s="29">
        <v>36.5</v>
      </c>
      <c r="F95" s="29">
        <v>72.3</v>
      </c>
      <c r="G95" s="29">
        <v>14.420000000000002</v>
      </c>
      <c r="H95" s="29">
        <v>225</v>
      </c>
    </row>
    <row r="96" spans="1:8" ht="15.75" customHeight="1" x14ac:dyDescent="0.5">
      <c r="A96" s="27">
        <v>95</v>
      </c>
      <c r="B96" s="27">
        <f t="shared" si="2"/>
        <v>2</v>
      </c>
      <c r="C96" s="55">
        <f t="shared" si="3"/>
        <v>45090</v>
      </c>
      <c r="D96" s="29">
        <v>30.48</v>
      </c>
      <c r="E96" s="29">
        <v>14</v>
      </c>
      <c r="F96" s="29">
        <v>10.9</v>
      </c>
      <c r="G96" s="29">
        <v>13.380000000000003</v>
      </c>
      <c r="H96" s="29">
        <v>117</v>
      </c>
    </row>
    <row r="97" spans="1:8" ht="15.75" customHeight="1" x14ac:dyDescent="0.5">
      <c r="A97" s="27">
        <v>96</v>
      </c>
      <c r="B97" s="27">
        <f t="shared" si="2"/>
        <v>3</v>
      </c>
      <c r="C97" s="55">
        <f t="shared" si="3"/>
        <v>45091</v>
      </c>
      <c r="D97" s="29">
        <v>40.660000000000004</v>
      </c>
      <c r="E97" s="29">
        <v>31.6</v>
      </c>
      <c r="F97" s="29">
        <v>52.9</v>
      </c>
      <c r="G97" s="29">
        <v>10.970000000000002</v>
      </c>
      <c r="H97" s="29">
        <v>175</v>
      </c>
    </row>
    <row r="98" spans="1:8" ht="15.75" customHeight="1" x14ac:dyDescent="0.5">
      <c r="A98" s="27">
        <v>97</v>
      </c>
      <c r="B98" s="27">
        <f t="shared" si="2"/>
        <v>4</v>
      </c>
      <c r="C98" s="55">
        <f t="shared" si="3"/>
        <v>45092</v>
      </c>
      <c r="D98" s="29">
        <v>46.519999999999996</v>
      </c>
      <c r="E98" s="29">
        <v>3.5</v>
      </c>
      <c r="F98" s="29">
        <v>5.9</v>
      </c>
      <c r="G98" s="29">
        <v>19.149999999999999</v>
      </c>
      <c r="H98" s="29">
        <v>132</v>
      </c>
    </row>
    <row r="99" spans="1:8" ht="15.75" customHeight="1" x14ac:dyDescent="0.5">
      <c r="A99" s="27">
        <v>98</v>
      </c>
      <c r="B99" s="27">
        <f t="shared" si="2"/>
        <v>5</v>
      </c>
      <c r="C99" s="55">
        <f t="shared" si="3"/>
        <v>45093</v>
      </c>
      <c r="D99" s="29">
        <v>41.980000000000004</v>
      </c>
      <c r="E99" s="29">
        <v>21</v>
      </c>
      <c r="F99" s="29">
        <v>22</v>
      </c>
      <c r="G99" s="29">
        <v>20.190000000000001</v>
      </c>
      <c r="H99" s="29">
        <v>168</v>
      </c>
    </row>
    <row r="100" spans="1:8" ht="15.75" customHeight="1" x14ac:dyDescent="0.5">
      <c r="A100" s="27">
        <v>99</v>
      </c>
      <c r="B100" s="27">
        <f t="shared" si="2"/>
        <v>6</v>
      </c>
      <c r="C100" s="55">
        <f t="shared" si="3"/>
        <v>45094</v>
      </c>
      <c r="D100" s="29">
        <v>64.94</v>
      </c>
      <c r="E100" s="29">
        <v>42.3</v>
      </c>
      <c r="F100" s="29">
        <v>51.2</v>
      </c>
      <c r="G100" s="29">
        <v>29.639999999999993</v>
      </c>
      <c r="H100" s="29">
        <v>257</v>
      </c>
    </row>
    <row r="101" spans="1:8" ht="15.75" customHeight="1" x14ac:dyDescent="0.5">
      <c r="A101" s="27">
        <v>100</v>
      </c>
      <c r="B101" s="27">
        <f t="shared" si="2"/>
        <v>7</v>
      </c>
      <c r="C101" s="55">
        <f t="shared" si="3"/>
        <v>45095</v>
      </c>
      <c r="D101" s="29">
        <v>28.04</v>
      </c>
      <c r="E101" s="29">
        <v>41.7</v>
      </c>
      <c r="F101" s="29">
        <v>45.9</v>
      </c>
      <c r="G101" s="29">
        <v>16.010000000000005</v>
      </c>
      <c r="H101" s="29">
        <v>183</v>
      </c>
    </row>
    <row r="102" spans="1:8" ht="15.75" customHeight="1" x14ac:dyDescent="0.5">
      <c r="A102" s="27">
        <v>101</v>
      </c>
      <c r="B102" s="27">
        <f t="shared" si="2"/>
        <v>1</v>
      </c>
      <c r="C102" s="55">
        <f t="shared" si="3"/>
        <v>45096</v>
      </c>
      <c r="D102" s="29">
        <v>51.480000000000004</v>
      </c>
      <c r="E102" s="29">
        <v>4.3</v>
      </c>
      <c r="F102" s="29">
        <v>49.8</v>
      </c>
      <c r="G102" s="29">
        <v>4.4699999999999989</v>
      </c>
      <c r="H102" s="29">
        <v>137</v>
      </c>
    </row>
    <row r="103" spans="1:8" ht="15.75" customHeight="1" x14ac:dyDescent="0.5">
      <c r="A103" s="27">
        <v>102</v>
      </c>
      <c r="B103" s="27">
        <f t="shared" si="2"/>
        <v>2</v>
      </c>
      <c r="C103" s="55">
        <f t="shared" si="3"/>
        <v>45097</v>
      </c>
      <c r="D103" s="29">
        <v>63.279999999999994</v>
      </c>
      <c r="E103" s="29">
        <v>36.299999999999997</v>
      </c>
      <c r="F103" s="29">
        <v>93.625</v>
      </c>
      <c r="G103" s="29">
        <v>10.339999999999989</v>
      </c>
      <c r="H103" s="29">
        <v>254</v>
      </c>
    </row>
    <row r="104" spans="1:8" ht="15.75" customHeight="1" x14ac:dyDescent="0.5">
      <c r="A104" s="27">
        <v>103</v>
      </c>
      <c r="B104" s="27">
        <f t="shared" si="2"/>
        <v>3</v>
      </c>
      <c r="C104" s="55">
        <f t="shared" si="3"/>
        <v>45098</v>
      </c>
      <c r="D104" s="29">
        <v>64.039999999999992</v>
      </c>
      <c r="E104" s="29">
        <v>10.1</v>
      </c>
      <c r="F104" s="29">
        <v>21.4</v>
      </c>
      <c r="G104" s="29">
        <v>24.509999999999998</v>
      </c>
      <c r="H104" s="29">
        <v>158</v>
      </c>
    </row>
    <row r="105" spans="1:8" ht="15.75" customHeight="1" x14ac:dyDescent="0.5">
      <c r="A105" s="27">
        <v>104</v>
      </c>
      <c r="B105" s="27">
        <f t="shared" si="2"/>
        <v>4</v>
      </c>
      <c r="C105" s="55">
        <f t="shared" si="3"/>
        <v>45099</v>
      </c>
      <c r="D105" s="29">
        <v>38.58</v>
      </c>
      <c r="E105" s="29">
        <v>17.2</v>
      </c>
      <c r="F105" s="29">
        <v>17.899999999999999</v>
      </c>
      <c r="G105" s="29">
        <v>20.23</v>
      </c>
      <c r="H105" s="29">
        <v>163</v>
      </c>
    </row>
    <row r="106" spans="1:8" ht="15.75" customHeight="1" x14ac:dyDescent="0.5">
      <c r="A106" s="27">
        <v>105</v>
      </c>
      <c r="B106" s="27">
        <f t="shared" si="2"/>
        <v>5</v>
      </c>
      <c r="C106" s="55">
        <f t="shared" si="3"/>
        <v>45100</v>
      </c>
      <c r="D106" s="29">
        <v>54.64</v>
      </c>
      <c r="E106" s="29">
        <v>34.299999999999997</v>
      </c>
      <c r="F106" s="29">
        <v>5.3</v>
      </c>
      <c r="G106" s="29">
        <v>38.85</v>
      </c>
      <c r="H106" s="29">
        <v>208</v>
      </c>
    </row>
    <row r="107" spans="1:8" ht="15.75" customHeight="1" x14ac:dyDescent="0.5">
      <c r="A107" s="27">
        <v>106</v>
      </c>
      <c r="B107" s="27">
        <f t="shared" si="2"/>
        <v>6</v>
      </c>
      <c r="C107" s="55">
        <f t="shared" si="3"/>
        <v>45101</v>
      </c>
      <c r="D107" s="29">
        <v>37.58</v>
      </c>
      <c r="E107" s="29">
        <v>46.4</v>
      </c>
      <c r="F107" s="29">
        <v>59</v>
      </c>
      <c r="G107" s="29">
        <v>13.39</v>
      </c>
      <c r="H107" s="29">
        <v>196</v>
      </c>
    </row>
    <row r="108" spans="1:8" ht="15.75" customHeight="1" x14ac:dyDescent="0.5">
      <c r="A108" s="27">
        <v>107</v>
      </c>
      <c r="B108" s="27">
        <f t="shared" si="2"/>
        <v>7</v>
      </c>
      <c r="C108" s="55">
        <f t="shared" si="3"/>
        <v>45102</v>
      </c>
      <c r="D108" s="29">
        <v>8</v>
      </c>
      <c r="E108" s="29">
        <v>11</v>
      </c>
      <c r="F108" s="29">
        <v>29.7</v>
      </c>
      <c r="G108" s="29">
        <v>16.119999999999997</v>
      </c>
      <c r="H108" s="29">
        <v>86</v>
      </c>
    </row>
    <row r="109" spans="1:8" ht="15.75" customHeight="1" x14ac:dyDescent="0.5">
      <c r="A109" s="27">
        <v>108</v>
      </c>
      <c r="B109" s="27">
        <f t="shared" si="2"/>
        <v>1</v>
      </c>
      <c r="C109" s="55">
        <f t="shared" si="3"/>
        <v>45103</v>
      </c>
      <c r="D109" s="29">
        <v>27.080000000000002</v>
      </c>
      <c r="E109" s="29">
        <v>0.3</v>
      </c>
      <c r="F109" s="29">
        <v>23.2</v>
      </c>
      <c r="G109" s="29">
        <v>19.910000000000004</v>
      </c>
      <c r="H109" s="29">
        <v>104</v>
      </c>
    </row>
    <row r="110" spans="1:8" ht="15.75" customHeight="1" x14ac:dyDescent="0.5">
      <c r="A110" s="27">
        <v>109</v>
      </c>
      <c r="B110" s="27">
        <f t="shared" si="2"/>
        <v>2</v>
      </c>
      <c r="C110" s="55">
        <f t="shared" si="3"/>
        <v>45104</v>
      </c>
      <c r="D110" s="29">
        <v>9.620000000000001</v>
      </c>
      <c r="E110" s="29">
        <v>0.4</v>
      </c>
      <c r="F110" s="29">
        <v>25.6</v>
      </c>
      <c r="G110" s="29">
        <v>11.269999999999998</v>
      </c>
      <c r="H110" s="29">
        <v>54</v>
      </c>
    </row>
    <row r="111" spans="1:8" ht="15.75" customHeight="1" x14ac:dyDescent="0.5">
      <c r="A111" s="27">
        <v>110</v>
      </c>
      <c r="B111" s="27">
        <f t="shared" si="2"/>
        <v>3</v>
      </c>
      <c r="C111" s="55">
        <f t="shared" si="3"/>
        <v>45105</v>
      </c>
      <c r="D111" s="29">
        <v>53.08</v>
      </c>
      <c r="E111" s="29">
        <v>26.9</v>
      </c>
      <c r="F111" s="29">
        <v>5.5</v>
      </c>
      <c r="G111" s="29">
        <v>36.789999999999992</v>
      </c>
      <c r="H111" s="29">
        <v>140.72222222222223</v>
      </c>
    </row>
    <row r="112" spans="1:8" ht="15.75" customHeight="1" x14ac:dyDescent="0.5">
      <c r="A112" s="27">
        <v>111</v>
      </c>
      <c r="B112" s="27">
        <f t="shared" si="2"/>
        <v>4</v>
      </c>
      <c r="C112" s="55">
        <f t="shared" si="3"/>
        <v>45106</v>
      </c>
      <c r="D112" s="29">
        <v>54.160000000000004</v>
      </c>
      <c r="E112" s="29">
        <v>8.1999999999999993</v>
      </c>
      <c r="F112" s="29">
        <v>56.5</v>
      </c>
      <c r="G112" s="29">
        <v>4.0799999999999983</v>
      </c>
      <c r="H112" s="29">
        <v>150</v>
      </c>
    </row>
    <row r="113" spans="1:8" ht="15.75" customHeight="1" x14ac:dyDescent="0.5">
      <c r="A113" s="27">
        <v>112</v>
      </c>
      <c r="B113" s="27">
        <f t="shared" si="2"/>
        <v>5</v>
      </c>
      <c r="C113" s="55">
        <f t="shared" si="3"/>
        <v>45107</v>
      </c>
      <c r="D113" s="29">
        <v>55.339999999999996</v>
      </c>
      <c r="E113" s="29">
        <v>38</v>
      </c>
      <c r="F113" s="29">
        <v>23.2</v>
      </c>
      <c r="G113" s="29">
        <v>33.89</v>
      </c>
      <c r="H113" s="29">
        <v>221</v>
      </c>
    </row>
    <row r="114" spans="1:8" ht="15.75" customHeight="1" x14ac:dyDescent="0.5">
      <c r="A114" s="27">
        <v>113</v>
      </c>
      <c r="B114" s="27">
        <f t="shared" si="2"/>
        <v>6</v>
      </c>
      <c r="C114" s="55">
        <f t="shared" si="3"/>
        <v>45108</v>
      </c>
      <c r="D114" s="29">
        <v>39.14</v>
      </c>
      <c r="E114" s="29">
        <v>15.4</v>
      </c>
      <c r="F114" s="29">
        <v>2.4</v>
      </c>
      <c r="G114" s="29">
        <v>24.31</v>
      </c>
      <c r="H114" s="29">
        <v>159</v>
      </c>
    </row>
    <row r="115" spans="1:8" ht="15.75" customHeight="1" x14ac:dyDescent="0.5">
      <c r="A115" s="27">
        <v>114</v>
      </c>
      <c r="B115" s="27">
        <f t="shared" si="2"/>
        <v>7</v>
      </c>
      <c r="C115" s="55">
        <f t="shared" si="3"/>
        <v>45109</v>
      </c>
      <c r="D115" s="29">
        <v>44.92</v>
      </c>
      <c r="E115" s="29">
        <v>20.6</v>
      </c>
      <c r="F115" s="29">
        <v>10.7</v>
      </c>
      <c r="G115" s="29">
        <v>26.98</v>
      </c>
      <c r="H115" s="29">
        <v>167</v>
      </c>
    </row>
    <row r="116" spans="1:8" ht="15.75" customHeight="1" x14ac:dyDescent="0.5">
      <c r="A116" s="27">
        <v>115</v>
      </c>
      <c r="B116" s="27">
        <f t="shared" si="2"/>
        <v>1</v>
      </c>
      <c r="C116" s="55">
        <f t="shared" si="3"/>
        <v>45110</v>
      </c>
      <c r="D116" s="29">
        <v>18.64</v>
      </c>
      <c r="E116" s="29">
        <v>46.8</v>
      </c>
      <c r="F116" s="29">
        <v>34.5</v>
      </c>
      <c r="G116" s="29">
        <v>17.419999999999998</v>
      </c>
      <c r="H116" s="29">
        <v>152</v>
      </c>
    </row>
    <row r="117" spans="1:8" ht="15.75" customHeight="1" x14ac:dyDescent="0.5">
      <c r="A117" s="27">
        <v>116</v>
      </c>
      <c r="B117" s="27">
        <f t="shared" si="2"/>
        <v>2</v>
      </c>
      <c r="C117" s="55">
        <f t="shared" si="3"/>
        <v>45111</v>
      </c>
      <c r="D117" s="29">
        <v>24.02</v>
      </c>
      <c r="E117" s="29">
        <v>35</v>
      </c>
      <c r="F117" s="29">
        <v>52.7</v>
      </c>
      <c r="G117" s="29">
        <v>3.9299999999999962</v>
      </c>
      <c r="H117" s="29">
        <v>133</v>
      </c>
    </row>
    <row r="118" spans="1:8" ht="15.75" customHeight="1" x14ac:dyDescent="0.5">
      <c r="A118" s="27">
        <v>117</v>
      </c>
      <c r="B118" s="27">
        <f t="shared" si="2"/>
        <v>3</v>
      </c>
      <c r="C118" s="55">
        <f t="shared" si="3"/>
        <v>45112</v>
      </c>
      <c r="D118" s="29">
        <v>37.839999999999996</v>
      </c>
      <c r="E118" s="29">
        <v>14.3</v>
      </c>
      <c r="F118" s="29">
        <v>25.6</v>
      </c>
      <c r="G118" s="29">
        <v>10.829999999999998</v>
      </c>
      <c r="H118" s="29">
        <v>129</v>
      </c>
    </row>
    <row r="119" spans="1:8" ht="15.75" customHeight="1" x14ac:dyDescent="0.5">
      <c r="A119" s="27">
        <v>118</v>
      </c>
      <c r="B119" s="27">
        <f t="shared" si="2"/>
        <v>4</v>
      </c>
      <c r="C119" s="55">
        <f t="shared" si="3"/>
        <v>45113</v>
      </c>
      <c r="D119" s="29">
        <v>25.28</v>
      </c>
      <c r="E119" s="29">
        <v>0.8</v>
      </c>
      <c r="F119" s="29">
        <v>14.8</v>
      </c>
      <c r="G119" s="29">
        <v>2.12</v>
      </c>
      <c r="H119" s="29">
        <v>108</v>
      </c>
    </row>
    <row r="120" spans="1:8" ht="15.75" customHeight="1" x14ac:dyDescent="0.5">
      <c r="A120" s="27">
        <v>119</v>
      </c>
      <c r="B120" s="27">
        <f t="shared" si="2"/>
        <v>5</v>
      </c>
      <c r="C120" s="55">
        <f t="shared" si="3"/>
        <v>45114</v>
      </c>
      <c r="D120" s="29">
        <v>29.14</v>
      </c>
      <c r="E120" s="29">
        <v>36.9</v>
      </c>
      <c r="F120" s="29">
        <v>79.2</v>
      </c>
      <c r="G120" s="29">
        <v>19.339999999999996</v>
      </c>
      <c r="H120" s="29">
        <v>172</v>
      </c>
    </row>
    <row r="121" spans="1:8" ht="15.75" customHeight="1" x14ac:dyDescent="0.5">
      <c r="A121" s="27">
        <v>120</v>
      </c>
      <c r="B121" s="27">
        <f t="shared" si="2"/>
        <v>6</v>
      </c>
      <c r="C121" s="55">
        <f t="shared" si="3"/>
        <v>45115</v>
      </c>
      <c r="D121" s="29">
        <v>9.879999999999999</v>
      </c>
      <c r="E121" s="29">
        <v>16</v>
      </c>
      <c r="F121" s="29">
        <v>22.3</v>
      </c>
      <c r="G121" s="29">
        <v>1.0199999999999996</v>
      </c>
      <c r="H121" s="29">
        <v>77</v>
      </c>
    </row>
    <row r="122" spans="1:8" ht="15.75" customHeight="1" x14ac:dyDescent="0.5">
      <c r="A122" s="27">
        <v>121</v>
      </c>
      <c r="B122" s="27">
        <f t="shared" si="2"/>
        <v>7</v>
      </c>
      <c r="C122" s="55">
        <f t="shared" si="3"/>
        <v>45116</v>
      </c>
      <c r="D122" s="29">
        <v>36.260000000000005</v>
      </c>
      <c r="E122" s="29">
        <v>26.8</v>
      </c>
      <c r="F122" s="29">
        <v>46.2</v>
      </c>
      <c r="G122" s="29">
        <v>9.0500000000000007</v>
      </c>
      <c r="H122" s="29">
        <v>163</v>
      </c>
    </row>
    <row r="123" spans="1:8" ht="15.75" customHeight="1" x14ac:dyDescent="0.5">
      <c r="A123" s="27">
        <v>122</v>
      </c>
      <c r="B123" s="27">
        <f t="shared" si="2"/>
        <v>1</v>
      </c>
      <c r="C123" s="55">
        <f t="shared" si="3"/>
        <v>45117</v>
      </c>
      <c r="D123" s="29">
        <v>7.76</v>
      </c>
      <c r="E123" s="29">
        <v>21.7</v>
      </c>
      <c r="F123" s="29">
        <v>50.4</v>
      </c>
      <c r="G123" s="29">
        <v>12.57</v>
      </c>
      <c r="H123" s="29">
        <v>81</v>
      </c>
    </row>
    <row r="124" spans="1:8" ht="15.75" customHeight="1" x14ac:dyDescent="0.5">
      <c r="A124" s="27">
        <v>123</v>
      </c>
      <c r="B124" s="27">
        <f t="shared" si="2"/>
        <v>2</v>
      </c>
      <c r="C124" s="55">
        <f t="shared" si="3"/>
        <v>45118</v>
      </c>
      <c r="D124" s="29">
        <v>45.8</v>
      </c>
      <c r="E124" s="29">
        <v>2.4</v>
      </c>
      <c r="F124" s="29">
        <v>15.6</v>
      </c>
      <c r="G124" s="29">
        <v>17.36</v>
      </c>
      <c r="H124" s="29">
        <v>125</v>
      </c>
    </row>
    <row r="125" spans="1:8" ht="15.75" customHeight="1" x14ac:dyDescent="0.5">
      <c r="A125" s="27">
        <v>124</v>
      </c>
      <c r="B125" s="27">
        <f t="shared" si="2"/>
        <v>3</v>
      </c>
      <c r="C125" s="55">
        <f t="shared" si="3"/>
        <v>45119</v>
      </c>
      <c r="D125" s="29">
        <v>33.619999999999997</v>
      </c>
      <c r="E125" s="29">
        <v>34.6</v>
      </c>
      <c r="F125" s="29">
        <v>12.4</v>
      </c>
      <c r="G125" s="29">
        <v>24.65</v>
      </c>
      <c r="H125" s="29">
        <v>171</v>
      </c>
    </row>
    <row r="126" spans="1:8" ht="15.75" customHeight="1" x14ac:dyDescent="0.5">
      <c r="A126" s="27">
        <v>125</v>
      </c>
      <c r="B126" s="27">
        <f t="shared" si="2"/>
        <v>4</v>
      </c>
      <c r="C126" s="55">
        <f t="shared" si="3"/>
        <v>45120</v>
      </c>
      <c r="D126" s="29">
        <v>51.9</v>
      </c>
      <c r="E126" s="29">
        <v>32.299999999999997</v>
      </c>
      <c r="F126" s="29">
        <v>74.2</v>
      </c>
      <c r="G126" s="29">
        <v>9.419999999999991</v>
      </c>
      <c r="H126" s="29">
        <v>201</v>
      </c>
    </row>
    <row r="127" spans="1:8" ht="15.75" customHeight="1" x14ac:dyDescent="0.5">
      <c r="A127" s="27">
        <v>126</v>
      </c>
      <c r="B127" s="27">
        <f t="shared" si="2"/>
        <v>5</v>
      </c>
      <c r="C127" s="55">
        <f t="shared" si="3"/>
        <v>45121</v>
      </c>
      <c r="D127" s="29">
        <v>18.440000000000001</v>
      </c>
      <c r="E127" s="29">
        <v>11.8</v>
      </c>
      <c r="F127" s="29">
        <v>25.9</v>
      </c>
      <c r="G127" s="29">
        <v>4.2600000000000016</v>
      </c>
      <c r="H127" s="29">
        <v>126</v>
      </c>
    </row>
    <row r="128" spans="1:8" ht="15.75" customHeight="1" x14ac:dyDescent="0.5">
      <c r="A128" s="27">
        <v>127</v>
      </c>
      <c r="B128" s="27">
        <f t="shared" si="2"/>
        <v>6</v>
      </c>
      <c r="C128" s="55">
        <f t="shared" si="3"/>
        <v>45122</v>
      </c>
      <c r="D128" s="29">
        <v>8.56</v>
      </c>
      <c r="E128" s="29">
        <v>38.9</v>
      </c>
      <c r="F128" s="29">
        <v>50.6</v>
      </c>
      <c r="G128" s="29">
        <v>19.989999999999998</v>
      </c>
      <c r="H128" s="29">
        <v>78</v>
      </c>
    </row>
    <row r="129" spans="1:8" ht="15.75" customHeight="1" x14ac:dyDescent="0.5">
      <c r="A129" s="27">
        <v>128</v>
      </c>
      <c r="B129" s="27">
        <f t="shared" si="2"/>
        <v>7</v>
      </c>
      <c r="C129" s="55">
        <f t="shared" si="3"/>
        <v>45123</v>
      </c>
      <c r="D129" s="29">
        <v>71.06</v>
      </c>
      <c r="E129" s="29">
        <v>23.450000000000003</v>
      </c>
      <c r="F129" s="29">
        <v>9.1999999999999993</v>
      </c>
      <c r="G129" s="29">
        <v>31.35</v>
      </c>
      <c r="H129" s="29">
        <v>92</v>
      </c>
    </row>
    <row r="130" spans="1:8" ht="15.75" customHeight="1" x14ac:dyDescent="0.5">
      <c r="A130" s="27">
        <v>129</v>
      </c>
      <c r="B130" s="27">
        <f t="shared" ref="B130:B193" si="4">WEEKDAY(C130,2)</f>
        <v>1</v>
      </c>
      <c r="C130" s="55">
        <f t="shared" ref="C130:C193" si="5">+C131-1</f>
        <v>45124</v>
      </c>
      <c r="D130" s="29">
        <v>54.06</v>
      </c>
      <c r="E130" s="29">
        <v>49</v>
      </c>
      <c r="F130" s="29">
        <v>3.2</v>
      </c>
      <c r="G130" s="29">
        <v>41.756249999999994</v>
      </c>
      <c r="H130" s="29">
        <v>264</v>
      </c>
    </row>
    <row r="131" spans="1:8" ht="15.75" customHeight="1" x14ac:dyDescent="0.5">
      <c r="A131" s="27">
        <v>130</v>
      </c>
      <c r="B131" s="27">
        <f t="shared" si="4"/>
        <v>2</v>
      </c>
      <c r="C131" s="55">
        <f t="shared" si="5"/>
        <v>45125</v>
      </c>
      <c r="D131" s="29">
        <v>18.920000000000002</v>
      </c>
      <c r="E131" s="29">
        <v>12</v>
      </c>
      <c r="F131" s="29">
        <v>43.1</v>
      </c>
      <c r="G131" s="29">
        <v>14.719999999999999</v>
      </c>
      <c r="H131" s="29">
        <v>116</v>
      </c>
    </row>
    <row r="132" spans="1:8" ht="15.75" customHeight="1" x14ac:dyDescent="0.5">
      <c r="A132" s="27">
        <v>131</v>
      </c>
      <c r="B132" s="27">
        <f t="shared" si="4"/>
        <v>3</v>
      </c>
      <c r="C132" s="55">
        <f t="shared" si="5"/>
        <v>45126</v>
      </c>
      <c r="D132" s="29">
        <v>6</v>
      </c>
      <c r="E132" s="29">
        <v>39.6</v>
      </c>
      <c r="F132" s="29">
        <v>8.6999999999999993</v>
      </c>
      <c r="G132" s="29">
        <v>41.756249999999994</v>
      </c>
      <c r="H132" s="29">
        <v>28</v>
      </c>
    </row>
    <row r="133" spans="1:8" ht="15.75" customHeight="1" x14ac:dyDescent="0.5">
      <c r="A133" s="27">
        <v>132</v>
      </c>
      <c r="B133" s="27">
        <f t="shared" si="4"/>
        <v>4</v>
      </c>
      <c r="C133" s="55">
        <f t="shared" si="5"/>
        <v>45127</v>
      </c>
      <c r="D133" s="29">
        <v>55.04</v>
      </c>
      <c r="E133" s="29">
        <v>2.9</v>
      </c>
      <c r="F133" s="29">
        <v>43</v>
      </c>
      <c r="G133" s="29">
        <v>10.77</v>
      </c>
      <c r="H133" s="29">
        <v>147</v>
      </c>
    </row>
    <row r="134" spans="1:8" ht="15.75" customHeight="1" x14ac:dyDescent="0.5">
      <c r="A134" s="27">
        <v>133</v>
      </c>
      <c r="B134" s="27">
        <f t="shared" si="4"/>
        <v>5</v>
      </c>
      <c r="C134" s="55">
        <f t="shared" si="5"/>
        <v>45128</v>
      </c>
      <c r="D134" s="29">
        <v>5.68</v>
      </c>
      <c r="E134" s="29">
        <v>27.2</v>
      </c>
      <c r="F134" s="29">
        <v>2.1</v>
      </c>
      <c r="G134" s="29">
        <v>13.6</v>
      </c>
      <c r="H134" s="29">
        <v>71</v>
      </c>
    </row>
    <row r="135" spans="1:8" ht="15.75" customHeight="1" x14ac:dyDescent="0.5">
      <c r="A135" s="27">
        <v>134</v>
      </c>
      <c r="B135" s="27">
        <f t="shared" si="4"/>
        <v>6</v>
      </c>
      <c r="C135" s="55">
        <f t="shared" si="5"/>
        <v>45129</v>
      </c>
      <c r="D135" s="29">
        <v>45.96</v>
      </c>
      <c r="E135" s="29">
        <v>33.5</v>
      </c>
      <c r="F135" s="29">
        <v>45.1</v>
      </c>
      <c r="G135" s="29">
        <v>20.69</v>
      </c>
      <c r="H135" s="29">
        <v>164.45535714285714</v>
      </c>
    </row>
    <row r="136" spans="1:8" ht="15.75" customHeight="1" x14ac:dyDescent="0.5">
      <c r="A136" s="27">
        <v>135</v>
      </c>
      <c r="B136" s="27">
        <f t="shared" si="4"/>
        <v>7</v>
      </c>
      <c r="C136" s="55">
        <f t="shared" si="5"/>
        <v>45130</v>
      </c>
      <c r="D136" s="29">
        <v>14.379999999999999</v>
      </c>
      <c r="E136" s="29">
        <v>38.6</v>
      </c>
      <c r="F136" s="29">
        <v>65.599999999999994</v>
      </c>
      <c r="G136" s="29">
        <v>16.750000000000004</v>
      </c>
      <c r="H136" s="29">
        <v>124</v>
      </c>
    </row>
    <row r="137" spans="1:8" ht="15.75" customHeight="1" x14ac:dyDescent="0.5">
      <c r="A137" s="27">
        <v>136</v>
      </c>
      <c r="B137" s="27">
        <f t="shared" si="4"/>
        <v>1</v>
      </c>
      <c r="C137" s="55">
        <f t="shared" si="5"/>
        <v>45131</v>
      </c>
      <c r="D137" s="29">
        <v>14.66</v>
      </c>
      <c r="E137" s="29">
        <v>47</v>
      </c>
      <c r="F137" s="29">
        <v>8.5</v>
      </c>
      <c r="G137" s="29">
        <v>24.93</v>
      </c>
      <c r="H137" s="29">
        <v>124</v>
      </c>
    </row>
    <row r="138" spans="1:8" ht="15.75" customHeight="1" x14ac:dyDescent="0.5">
      <c r="A138" s="27">
        <v>137</v>
      </c>
      <c r="B138" s="27">
        <f t="shared" si="4"/>
        <v>2</v>
      </c>
      <c r="C138" s="55">
        <f t="shared" si="5"/>
        <v>45132</v>
      </c>
      <c r="D138" s="29">
        <v>10.120000000000001</v>
      </c>
      <c r="E138" s="29">
        <v>39</v>
      </c>
      <c r="F138" s="29">
        <v>9.3000000000000007</v>
      </c>
      <c r="G138" s="29">
        <v>18.339999999999996</v>
      </c>
      <c r="H138" s="29">
        <v>98</v>
      </c>
    </row>
    <row r="139" spans="1:8" ht="15.75" customHeight="1" x14ac:dyDescent="0.5">
      <c r="A139" s="27">
        <v>138</v>
      </c>
      <c r="B139" s="27">
        <f t="shared" si="4"/>
        <v>3</v>
      </c>
      <c r="C139" s="55">
        <f t="shared" si="5"/>
        <v>45133</v>
      </c>
      <c r="D139" s="29">
        <v>58.739999999999995</v>
      </c>
      <c r="E139" s="29">
        <v>28.9</v>
      </c>
      <c r="F139" s="29">
        <v>59.7</v>
      </c>
      <c r="G139" s="29">
        <v>17.939999999999991</v>
      </c>
      <c r="H139" s="29">
        <v>210</v>
      </c>
    </row>
    <row r="140" spans="1:8" ht="15.75" customHeight="1" x14ac:dyDescent="0.5">
      <c r="A140" s="27">
        <v>139</v>
      </c>
      <c r="B140" s="27">
        <f t="shared" si="4"/>
        <v>4</v>
      </c>
      <c r="C140" s="55">
        <f t="shared" si="5"/>
        <v>45134</v>
      </c>
      <c r="D140" s="29">
        <v>9.6</v>
      </c>
      <c r="E140" s="29">
        <v>25.9</v>
      </c>
      <c r="F140" s="29">
        <v>20.5</v>
      </c>
      <c r="G140" s="29">
        <v>9.0499999999999989</v>
      </c>
      <c r="H140" s="29">
        <v>109</v>
      </c>
    </row>
    <row r="141" spans="1:8" ht="15.75" customHeight="1" x14ac:dyDescent="0.5">
      <c r="A141" s="27">
        <v>140</v>
      </c>
      <c r="B141" s="27">
        <f t="shared" si="4"/>
        <v>5</v>
      </c>
      <c r="C141" s="55">
        <f t="shared" si="5"/>
        <v>45135</v>
      </c>
      <c r="D141" s="29">
        <v>96.179999999999993</v>
      </c>
      <c r="E141" s="29">
        <v>43.9</v>
      </c>
      <c r="F141" s="29">
        <v>1.7</v>
      </c>
      <c r="G141" s="29">
        <v>39.76</v>
      </c>
      <c r="H141" s="29">
        <v>227</v>
      </c>
    </row>
    <row r="142" spans="1:8" ht="15.75" customHeight="1" x14ac:dyDescent="0.5">
      <c r="A142" s="27">
        <v>141</v>
      </c>
      <c r="B142" s="27">
        <f t="shared" si="4"/>
        <v>6</v>
      </c>
      <c r="C142" s="55">
        <f t="shared" si="5"/>
        <v>45136</v>
      </c>
      <c r="D142" s="29">
        <v>20.910000000000004</v>
      </c>
      <c r="E142" s="29">
        <v>17</v>
      </c>
      <c r="F142" s="29">
        <v>12.9</v>
      </c>
      <c r="G142" s="29">
        <v>10.68</v>
      </c>
      <c r="H142" s="29">
        <v>113</v>
      </c>
    </row>
    <row r="143" spans="1:8" ht="15.75" customHeight="1" x14ac:dyDescent="0.5">
      <c r="A143" s="27">
        <v>142</v>
      </c>
      <c r="B143" s="27">
        <f t="shared" si="4"/>
        <v>7</v>
      </c>
      <c r="C143" s="55">
        <f t="shared" si="5"/>
        <v>45137</v>
      </c>
      <c r="D143" s="29">
        <v>49.443333333333328</v>
      </c>
      <c r="E143" s="29">
        <v>35.4</v>
      </c>
      <c r="F143" s="29">
        <v>75.599999999999994</v>
      </c>
      <c r="G143" s="29">
        <v>6.8299999999999947</v>
      </c>
      <c r="H143" s="29">
        <v>207</v>
      </c>
    </row>
    <row r="144" spans="1:8" ht="15.75" customHeight="1" x14ac:dyDescent="0.5">
      <c r="A144" s="27">
        <v>143</v>
      </c>
      <c r="B144" s="27">
        <f t="shared" si="4"/>
        <v>1</v>
      </c>
      <c r="C144" s="55">
        <f t="shared" si="5"/>
        <v>45138</v>
      </c>
      <c r="D144" s="29">
        <v>50.1</v>
      </c>
      <c r="E144" s="29">
        <v>33.200000000000003</v>
      </c>
      <c r="F144" s="29">
        <v>37.9</v>
      </c>
      <c r="G144" s="29">
        <v>23.490000000000006</v>
      </c>
      <c r="H144" s="29">
        <v>218</v>
      </c>
    </row>
    <row r="145" spans="1:8" ht="15.75" customHeight="1" x14ac:dyDescent="0.5">
      <c r="A145" s="27">
        <v>144</v>
      </c>
      <c r="B145" s="27">
        <f t="shared" si="4"/>
        <v>2</v>
      </c>
      <c r="C145" s="55">
        <f t="shared" si="5"/>
        <v>45139</v>
      </c>
      <c r="D145" s="29">
        <v>28.919999999999998</v>
      </c>
      <c r="E145" s="29">
        <v>5.7</v>
      </c>
      <c r="F145" s="29">
        <v>34.4</v>
      </c>
      <c r="G145" s="29">
        <v>19.549999999999997</v>
      </c>
      <c r="H145" s="29">
        <v>144.14285714285714</v>
      </c>
    </row>
    <row r="146" spans="1:8" ht="15.75" customHeight="1" x14ac:dyDescent="0.5">
      <c r="A146" s="27">
        <v>145</v>
      </c>
      <c r="B146" s="27">
        <f t="shared" si="4"/>
        <v>3</v>
      </c>
      <c r="C146" s="55">
        <f t="shared" si="5"/>
        <v>45140</v>
      </c>
      <c r="D146" s="29">
        <v>29.240000000000002</v>
      </c>
      <c r="E146" s="29">
        <v>14.8</v>
      </c>
      <c r="F146" s="29">
        <v>38.9</v>
      </c>
      <c r="G146" s="29">
        <v>1.4600000000000026</v>
      </c>
      <c r="H146" s="29">
        <v>127</v>
      </c>
    </row>
    <row r="147" spans="1:8" ht="15.75" customHeight="1" x14ac:dyDescent="0.5">
      <c r="A147" s="27">
        <v>146</v>
      </c>
      <c r="B147" s="27">
        <f t="shared" si="4"/>
        <v>4</v>
      </c>
      <c r="C147" s="55">
        <f t="shared" si="5"/>
        <v>45141</v>
      </c>
      <c r="D147" s="29">
        <v>31.060000000000002</v>
      </c>
      <c r="E147" s="29">
        <v>1.9</v>
      </c>
      <c r="F147" s="29">
        <v>9</v>
      </c>
      <c r="G147" s="29">
        <v>11.38</v>
      </c>
      <c r="H147" s="29">
        <v>123</v>
      </c>
    </row>
    <row r="148" spans="1:8" ht="15.75" customHeight="1" x14ac:dyDescent="0.5">
      <c r="A148" s="27">
        <v>147</v>
      </c>
      <c r="B148" s="27">
        <f t="shared" si="4"/>
        <v>5</v>
      </c>
      <c r="C148" s="55">
        <f t="shared" si="5"/>
        <v>45142</v>
      </c>
      <c r="D148" s="29">
        <v>55.019999999999996</v>
      </c>
      <c r="E148" s="29">
        <v>7.3</v>
      </c>
      <c r="F148" s="29">
        <v>8.6999999999999993</v>
      </c>
      <c r="G148" s="29">
        <v>24.179999999999996</v>
      </c>
      <c r="H148" s="29">
        <v>142</v>
      </c>
    </row>
    <row r="149" spans="1:8" ht="15.75" customHeight="1" x14ac:dyDescent="0.5">
      <c r="A149" s="27">
        <v>148</v>
      </c>
      <c r="B149" s="27">
        <f t="shared" si="4"/>
        <v>6</v>
      </c>
      <c r="C149" s="55">
        <f t="shared" si="5"/>
        <v>45143</v>
      </c>
      <c r="D149" s="29">
        <v>50.64</v>
      </c>
      <c r="E149" s="29">
        <v>49</v>
      </c>
      <c r="F149" s="29">
        <v>44.3</v>
      </c>
      <c r="G149" s="29">
        <v>31.1</v>
      </c>
      <c r="H149" s="29">
        <v>265</v>
      </c>
    </row>
    <row r="150" spans="1:8" ht="15.75" customHeight="1" x14ac:dyDescent="0.5">
      <c r="A150" s="27">
        <v>149</v>
      </c>
      <c r="B150" s="27">
        <f t="shared" si="4"/>
        <v>7</v>
      </c>
      <c r="C150" s="55">
        <f t="shared" si="5"/>
        <v>45144</v>
      </c>
      <c r="D150" s="29">
        <v>15.6</v>
      </c>
      <c r="E150" s="29">
        <v>40.299999999999997</v>
      </c>
      <c r="F150" s="29">
        <v>11.9</v>
      </c>
      <c r="G150" s="29">
        <v>19.189999999999998</v>
      </c>
      <c r="H150" s="29">
        <v>110</v>
      </c>
    </row>
    <row r="151" spans="1:8" ht="15.75" customHeight="1" x14ac:dyDescent="0.5">
      <c r="A151" s="27">
        <v>150</v>
      </c>
      <c r="B151" s="27">
        <f t="shared" si="4"/>
        <v>1</v>
      </c>
      <c r="C151" s="55">
        <f t="shared" si="5"/>
        <v>45145</v>
      </c>
      <c r="D151" s="29">
        <v>96.179999999999993</v>
      </c>
      <c r="E151" s="29">
        <v>25.8</v>
      </c>
      <c r="F151" s="29">
        <v>20.6</v>
      </c>
      <c r="G151" s="29">
        <v>9.1300000000000008</v>
      </c>
      <c r="H151" s="29">
        <v>118</v>
      </c>
    </row>
    <row r="152" spans="1:8" ht="15.75" customHeight="1" x14ac:dyDescent="0.5">
      <c r="A152" s="27">
        <v>151</v>
      </c>
      <c r="B152" s="27">
        <f t="shared" si="4"/>
        <v>2</v>
      </c>
      <c r="C152" s="55">
        <f t="shared" si="5"/>
        <v>45146</v>
      </c>
      <c r="D152" s="29">
        <v>66.14</v>
      </c>
      <c r="E152" s="29">
        <v>13.9</v>
      </c>
      <c r="F152" s="29">
        <v>37</v>
      </c>
      <c r="G152" s="29">
        <v>20.220000000000002</v>
      </c>
      <c r="H152" s="29">
        <v>166</v>
      </c>
    </row>
    <row r="153" spans="1:8" ht="15.75" customHeight="1" x14ac:dyDescent="0.5">
      <c r="A153" s="27">
        <v>152</v>
      </c>
      <c r="B153" s="27">
        <f t="shared" si="4"/>
        <v>3</v>
      </c>
      <c r="C153" s="55">
        <f t="shared" si="5"/>
        <v>45147</v>
      </c>
      <c r="D153" s="29">
        <v>31.2</v>
      </c>
      <c r="E153" s="29">
        <v>8.4</v>
      </c>
      <c r="F153" s="29">
        <v>48.7</v>
      </c>
      <c r="G153" s="29">
        <v>16.819999999999997</v>
      </c>
      <c r="H153" s="29">
        <v>125</v>
      </c>
    </row>
    <row r="154" spans="1:8" ht="15.75" customHeight="1" x14ac:dyDescent="0.5">
      <c r="A154" s="27">
        <v>153</v>
      </c>
      <c r="B154" s="27">
        <f t="shared" si="4"/>
        <v>4</v>
      </c>
      <c r="C154" s="55">
        <f t="shared" si="5"/>
        <v>45148</v>
      </c>
      <c r="D154" s="29">
        <v>40.519999999999996</v>
      </c>
      <c r="E154" s="29">
        <v>23.3</v>
      </c>
      <c r="F154" s="29">
        <v>14.2</v>
      </c>
      <c r="G154" s="29">
        <v>25.729999999999997</v>
      </c>
      <c r="H154" s="29">
        <v>169</v>
      </c>
    </row>
    <row r="155" spans="1:8" ht="15.75" customHeight="1" x14ac:dyDescent="0.5">
      <c r="A155" s="27">
        <v>154</v>
      </c>
      <c r="B155" s="27">
        <f t="shared" si="4"/>
        <v>5</v>
      </c>
      <c r="C155" s="55">
        <f t="shared" si="5"/>
        <v>45149</v>
      </c>
      <c r="D155" s="29">
        <v>37.260000000000005</v>
      </c>
      <c r="E155" s="29">
        <v>39.700000000000003</v>
      </c>
      <c r="F155" s="29">
        <v>37.700000000000003</v>
      </c>
      <c r="G155" s="29">
        <v>21.900000000000002</v>
      </c>
      <c r="H155" s="29">
        <v>208</v>
      </c>
    </row>
    <row r="156" spans="1:8" ht="15.75" customHeight="1" x14ac:dyDescent="0.5">
      <c r="A156" s="27">
        <v>155</v>
      </c>
      <c r="B156" s="27">
        <f t="shared" si="4"/>
        <v>6</v>
      </c>
      <c r="C156" s="55">
        <f t="shared" si="5"/>
        <v>45150</v>
      </c>
      <c r="D156" s="29">
        <v>43.56</v>
      </c>
      <c r="E156" s="29">
        <v>21.1</v>
      </c>
      <c r="F156" s="29">
        <v>9.5</v>
      </c>
      <c r="G156" s="29">
        <v>25.53</v>
      </c>
      <c r="H156" s="29">
        <v>166</v>
      </c>
    </row>
    <row r="157" spans="1:8" ht="15.75" customHeight="1" x14ac:dyDescent="0.5">
      <c r="A157" s="27">
        <v>156</v>
      </c>
      <c r="B157" s="27">
        <f t="shared" si="4"/>
        <v>7</v>
      </c>
      <c r="C157" s="55">
        <f t="shared" si="5"/>
        <v>45151</v>
      </c>
      <c r="D157" s="29">
        <v>9.82</v>
      </c>
      <c r="E157" s="29">
        <v>11.6</v>
      </c>
      <c r="F157" s="29">
        <v>5.7</v>
      </c>
      <c r="G157" s="29">
        <v>41.756249999999994</v>
      </c>
      <c r="H157" s="29">
        <v>35</v>
      </c>
    </row>
    <row r="158" spans="1:8" ht="15.75" customHeight="1" x14ac:dyDescent="0.5">
      <c r="A158" s="27">
        <v>157</v>
      </c>
      <c r="B158" s="27">
        <f t="shared" si="4"/>
        <v>1</v>
      </c>
      <c r="C158" s="55">
        <f t="shared" si="5"/>
        <v>45152</v>
      </c>
      <c r="D158" s="29">
        <v>25.78</v>
      </c>
      <c r="E158" s="29">
        <v>43.5</v>
      </c>
      <c r="F158" s="29">
        <v>50.5</v>
      </c>
      <c r="G158" s="29">
        <v>10.939999999999998</v>
      </c>
      <c r="H158" s="29">
        <v>173</v>
      </c>
    </row>
    <row r="159" spans="1:8" ht="15.75" customHeight="1" x14ac:dyDescent="0.5">
      <c r="A159" s="27">
        <v>158</v>
      </c>
      <c r="B159" s="27">
        <f t="shared" si="4"/>
        <v>2</v>
      </c>
      <c r="C159" s="55">
        <f t="shared" si="5"/>
        <v>45153</v>
      </c>
      <c r="D159" s="29">
        <v>39.96</v>
      </c>
      <c r="E159" s="29">
        <v>1.3</v>
      </c>
      <c r="F159" s="29">
        <v>24.3</v>
      </c>
      <c r="G159" s="29">
        <v>5.91</v>
      </c>
      <c r="H159" s="29">
        <v>111</v>
      </c>
    </row>
    <row r="160" spans="1:8" ht="15.75" customHeight="1" x14ac:dyDescent="0.5">
      <c r="A160" s="27">
        <v>159</v>
      </c>
      <c r="B160" s="27">
        <f t="shared" si="4"/>
        <v>3</v>
      </c>
      <c r="C160" s="55">
        <f t="shared" si="5"/>
        <v>45154</v>
      </c>
      <c r="D160" s="29">
        <v>12.34</v>
      </c>
      <c r="E160" s="29">
        <v>36.9</v>
      </c>
      <c r="F160" s="29">
        <v>45.2</v>
      </c>
      <c r="G160" s="29">
        <v>1.5399999999999956</v>
      </c>
      <c r="H160" s="29">
        <v>85</v>
      </c>
    </row>
    <row r="161" spans="1:8" ht="15.75" customHeight="1" x14ac:dyDescent="0.5">
      <c r="A161" s="27">
        <v>160</v>
      </c>
      <c r="B161" s="27">
        <f t="shared" si="4"/>
        <v>4</v>
      </c>
      <c r="C161" s="55">
        <f t="shared" si="5"/>
        <v>45155</v>
      </c>
      <c r="D161" s="29">
        <v>32.339999999999996</v>
      </c>
      <c r="E161" s="29">
        <v>18.399999999999999</v>
      </c>
      <c r="F161" s="29">
        <v>34.6</v>
      </c>
      <c r="G161" s="29">
        <v>8.5299999999999958</v>
      </c>
      <c r="H161" s="29">
        <v>138</v>
      </c>
    </row>
    <row r="162" spans="1:8" ht="15.75" customHeight="1" x14ac:dyDescent="0.5">
      <c r="A162" s="27">
        <v>161</v>
      </c>
      <c r="B162" s="27">
        <f t="shared" si="4"/>
        <v>5</v>
      </c>
      <c r="C162" s="55">
        <f t="shared" si="5"/>
        <v>45156</v>
      </c>
      <c r="D162" s="29">
        <v>44.5</v>
      </c>
      <c r="E162" s="29">
        <v>18.100000000000001</v>
      </c>
      <c r="F162" s="29">
        <v>30.7</v>
      </c>
      <c r="G162" s="29">
        <v>14.02</v>
      </c>
      <c r="H162" s="29">
        <v>159</v>
      </c>
    </row>
    <row r="163" spans="1:8" ht="15.75" customHeight="1" x14ac:dyDescent="0.5">
      <c r="A163" s="27">
        <v>162</v>
      </c>
      <c r="B163" s="27">
        <f t="shared" si="4"/>
        <v>6</v>
      </c>
      <c r="C163" s="55">
        <f t="shared" si="5"/>
        <v>45157</v>
      </c>
      <c r="D163" s="29">
        <v>19.14</v>
      </c>
      <c r="E163" s="29">
        <v>35.799999999999997</v>
      </c>
      <c r="F163" s="29">
        <v>49.3</v>
      </c>
      <c r="G163" s="29">
        <v>6.75</v>
      </c>
      <c r="H163" s="29">
        <v>151</v>
      </c>
    </row>
    <row r="164" spans="1:8" ht="15.75" customHeight="1" x14ac:dyDescent="0.5">
      <c r="A164" s="27">
        <v>163</v>
      </c>
      <c r="B164" s="27">
        <f t="shared" si="4"/>
        <v>7</v>
      </c>
      <c r="C164" s="55">
        <f t="shared" si="5"/>
        <v>45158</v>
      </c>
      <c r="D164" s="29">
        <v>42.68</v>
      </c>
      <c r="E164" s="29">
        <v>23.450000000000003</v>
      </c>
      <c r="F164" s="29">
        <v>25.9</v>
      </c>
      <c r="G164" s="29">
        <v>17.649999999999999</v>
      </c>
      <c r="H164" s="29">
        <v>168</v>
      </c>
    </row>
    <row r="165" spans="1:8" ht="15.75" customHeight="1" x14ac:dyDescent="0.5">
      <c r="A165" s="27">
        <v>164</v>
      </c>
      <c r="B165" s="27">
        <f t="shared" si="4"/>
        <v>1</v>
      </c>
      <c r="C165" s="55">
        <f t="shared" si="5"/>
        <v>45159</v>
      </c>
      <c r="D165" s="29">
        <v>33.700000000000003</v>
      </c>
      <c r="E165" s="29">
        <v>36.799999999999997</v>
      </c>
      <c r="F165" s="29">
        <v>7.4</v>
      </c>
      <c r="G165" s="29">
        <v>31.79</v>
      </c>
      <c r="H165" s="29">
        <v>193</v>
      </c>
    </row>
    <row r="166" spans="1:8" ht="15.75" customHeight="1" x14ac:dyDescent="0.5">
      <c r="A166" s="27">
        <v>165</v>
      </c>
      <c r="B166" s="27">
        <f t="shared" si="4"/>
        <v>2</v>
      </c>
      <c r="C166" s="55">
        <f t="shared" si="5"/>
        <v>45160</v>
      </c>
      <c r="D166" s="29">
        <v>28.44</v>
      </c>
      <c r="E166" s="29">
        <v>14.7</v>
      </c>
      <c r="F166" s="29">
        <v>5.4</v>
      </c>
      <c r="G166" s="29">
        <v>16.91</v>
      </c>
      <c r="H166" s="29">
        <v>132</v>
      </c>
    </row>
    <row r="167" spans="1:8" ht="15.75" customHeight="1" x14ac:dyDescent="0.5">
      <c r="A167" s="27">
        <v>166</v>
      </c>
      <c r="B167" s="27">
        <f t="shared" si="4"/>
        <v>3</v>
      </c>
      <c r="C167" s="55">
        <f t="shared" si="5"/>
        <v>45161</v>
      </c>
      <c r="D167" s="29">
        <v>56.9</v>
      </c>
      <c r="E167" s="29">
        <v>3.4</v>
      </c>
      <c r="F167" s="29">
        <v>84.8</v>
      </c>
      <c r="G167" s="29">
        <v>11.229999999999997</v>
      </c>
      <c r="H167" s="29">
        <v>131</v>
      </c>
    </row>
    <row r="168" spans="1:8" ht="15.75" customHeight="1" x14ac:dyDescent="0.5">
      <c r="A168" s="27">
        <v>167</v>
      </c>
      <c r="B168" s="27">
        <f t="shared" si="4"/>
        <v>4</v>
      </c>
      <c r="C168" s="55">
        <f t="shared" si="5"/>
        <v>45162</v>
      </c>
      <c r="D168" s="29">
        <v>11.58</v>
      </c>
      <c r="E168" s="29">
        <v>37.6</v>
      </c>
      <c r="F168" s="29">
        <v>21.6</v>
      </c>
      <c r="G168" s="29">
        <v>11.95</v>
      </c>
      <c r="H168" s="29">
        <v>90</v>
      </c>
    </row>
    <row r="169" spans="1:8" ht="15.75" customHeight="1" x14ac:dyDescent="0.5">
      <c r="A169" s="27">
        <v>168</v>
      </c>
      <c r="B169" s="27">
        <f t="shared" si="4"/>
        <v>5</v>
      </c>
      <c r="C169" s="55">
        <f t="shared" si="5"/>
        <v>45163</v>
      </c>
      <c r="D169" s="29">
        <v>48.36</v>
      </c>
      <c r="E169" s="29">
        <v>5.2</v>
      </c>
      <c r="F169" s="29">
        <v>19.399999999999999</v>
      </c>
      <c r="G169" s="29">
        <v>15.520000000000001</v>
      </c>
      <c r="H169" s="29">
        <v>129</v>
      </c>
    </row>
    <row r="170" spans="1:8" ht="15.75" customHeight="1" x14ac:dyDescent="0.5">
      <c r="A170" s="27">
        <v>169</v>
      </c>
      <c r="B170" s="27">
        <f t="shared" si="4"/>
        <v>6</v>
      </c>
      <c r="C170" s="55">
        <f t="shared" si="5"/>
        <v>45164</v>
      </c>
      <c r="D170" s="29">
        <v>45.08</v>
      </c>
      <c r="E170" s="29">
        <v>23.6</v>
      </c>
      <c r="F170" s="29">
        <v>57.6</v>
      </c>
      <c r="G170" s="29">
        <v>10.3</v>
      </c>
      <c r="H170" s="29">
        <v>185</v>
      </c>
    </row>
    <row r="171" spans="1:8" ht="15.75" customHeight="1" x14ac:dyDescent="0.5">
      <c r="A171" s="27">
        <v>170</v>
      </c>
      <c r="B171" s="27">
        <f t="shared" si="4"/>
        <v>7</v>
      </c>
      <c r="C171" s="55">
        <f t="shared" si="5"/>
        <v>45165</v>
      </c>
      <c r="D171" s="29">
        <v>60.86</v>
      </c>
      <c r="E171" s="29">
        <v>10.6</v>
      </c>
      <c r="F171" s="29">
        <v>6.4</v>
      </c>
      <c r="G171" s="29">
        <v>31.169999999999995</v>
      </c>
      <c r="H171" s="29">
        <v>162</v>
      </c>
    </row>
    <row r="172" spans="1:8" ht="15.75" customHeight="1" x14ac:dyDescent="0.5">
      <c r="A172" s="27">
        <v>171</v>
      </c>
      <c r="B172" s="27">
        <f t="shared" si="4"/>
        <v>1</v>
      </c>
      <c r="C172" s="55">
        <f t="shared" si="5"/>
        <v>45166</v>
      </c>
      <c r="D172" s="29">
        <v>12</v>
      </c>
      <c r="E172" s="29">
        <v>11.6</v>
      </c>
      <c r="F172" s="29">
        <v>18.399999999999999</v>
      </c>
      <c r="G172" s="29">
        <v>3.4400000000000013</v>
      </c>
      <c r="H172" s="29">
        <v>90</v>
      </c>
    </row>
    <row r="173" spans="1:8" ht="15.75" customHeight="1" x14ac:dyDescent="0.5">
      <c r="A173" s="27">
        <v>172</v>
      </c>
      <c r="B173" s="27">
        <f t="shared" si="4"/>
        <v>2</v>
      </c>
      <c r="C173" s="55">
        <f t="shared" si="5"/>
        <v>45167</v>
      </c>
      <c r="D173" s="29">
        <v>42.9</v>
      </c>
      <c r="E173" s="29">
        <v>20.9</v>
      </c>
      <c r="F173" s="29">
        <v>47.4</v>
      </c>
      <c r="G173" s="29">
        <v>7.9399999999999977</v>
      </c>
      <c r="H173" s="29">
        <v>163</v>
      </c>
    </row>
    <row r="174" spans="1:8" ht="15.75" customHeight="1" x14ac:dyDescent="0.5">
      <c r="A174" s="27">
        <v>173</v>
      </c>
      <c r="B174" s="27">
        <f t="shared" si="4"/>
        <v>3</v>
      </c>
      <c r="C174" s="55">
        <f t="shared" si="5"/>
        <v>45168</v>
      </c>
      <c r="D174" s="29">
        <v>9.92</v>
      </c>
      <c r="E174" s="29">
        <v>20.100000000000001</v>
      </c>
      <c r="F174" s="29">
        <v>17</v>
      </c>
      <c r="G174" s="29">
        <v>5.2100000000000009</v>
      </c>
      <c r="H174" s="29">
        <v>93</v>
      </c>
    </row>
    <row r="175" spans="1:8" ht="15.75" customHeight="1" x14ac:dyDescent="0.5">
      <c r="A175" s="27">
        <v>174</v>
      </c>
      <c r="B175" s="27">
        <f t="shared" si="4"/>
        <v>4</v>
      </c>
      <c r="C175" s="55">
        <f t="shared" si="5"/>
        <v>45169</v>
      </c>
      <c r="D175" s="29">
        <v>36.68</v>
      </c>
      <c r="E175" s="29">
        <v>7.1</v>
      </c>
      <c r="F175" s="29">
        <v>12.8</v>
      </c>
      <c r="G175" s="29">
        <v>15.27</v>
      </c>
      <c r="H175" s="29">
        <v>129</v>
      </c>
    </row>
    <row r="176" spans="1:8" ht="15.75" customHeight="1" x14ac:dyDescent="0.5">
      <c r="A176" s="27">
        <v>175</v>
      </c>
      <c r="B176" s="27">
        <f t="shared" si="4"/>
        <v>5</v>
      </c>
      <c r="C176" s="55">
        <f t="shared" si="5"/>
        <v>45170</v>
      </c>
      <c r="D176" s="29">
        <v>53.480000000000004</v>
      </c>
      <c r="E176" s="29">
        <v>3.4</v>
      </c>
      <c r="F176" s="29">
        <v>13.1</v>
      </c>
      <c r="G176" s="29">
        <v>18.700000000000003</v>
      </c>
      <c r="H176" s="29">
        <v>127</v>
      </c>
    </row>
    <row r="177" spans="1:8" ht="15.75" customHeight="1" x14ac:dyDescent="0.5">
      <c r="A177" s="27">
        <v>176</v>
      </c>
      <c r="B177" s="27">
        <f t="shared" si="4"/>
        <v>6</v>
      </c>
      <c r="C177" s="55">
        <f t="shared" si="5"/>
        <v>45171</v>
      </c>
      <c r="D177" s="29">
        <v>64.38</v>
      </c>
      <c r="E177" s="29">
        <v>48.9</v>
      </c>
      <c r="F177" s="29">
        <v>41.8</v>
      </c>
      <c r="G177" s="29">
        <v>35.42</v>
      </c>
      <c r="H177" s="29">
        <v>271</v>
      </c>
    </row>
    <row r="178" spans="1:8" ht="15.75" customHeight="1" x14ac:dyDescent="0.5">
      <c r="A178" s="27">
        <v>177</v>
      </c>
      <c r="B178" s="27">
        <f t="shared" si="4"/>
        <v>7</v>
      </c>
      <c r="C178" s="55">
        <f t="shared" si="5"/>
        <v>45172</v>
      </c>
      <c r="D178" s="29">
        <v>58.68</v>
      </c>
      <c r="E178" s="29">
        <v>30.2</v>
      </c>
      <c r="F178" s="29">
        <v>20.3</v>
      </c>
      <c r="G178" s="29">
        <v>31.819999999999997</v>
      </c>
      <c r="H178" s="29">
        <v>216</v>
      </c>
    </row>
    <row r="179" spans="1:8" ht="15.75" customHeight="1" x14ac:dyDescent="0.5">
      <c r="A179" s="27">
        <v>178</v>
      </c>
      <c r="B179" s="27">
        <f t="shared" si="4"/>
        <v>1</v>
      </c>
      <c r="C179" s="55">
        <f t="shared" si="5"/>
        <v>45173</v>
      </c>
      <c r="D179" s="29">
        <v>40.04</v>
      </c>
      <c r="E179" s="29">
        <v>7.8</v>
      </c>
      <c r="F179" s="29">
        <v>35.200000000000003</v>
      </c>
      <c r="G179" s="29">
        <v>41.756249999999994</v>
      </c>
      <c r="H179" s="29">
        <v>131</v>
      </c>
    </row>
    <row r="180" spans="1:8" ht="15.75" customHeight="1" x14ac:dyDescent="0.5">
      <c r="A180" s="27">
        <v>179</v>
      </c>
      <c r="B180" s="27">
        <f t="shared" si="4"/>
        <v>2</v>
      </c>
      <c r="C180" s="55">
        <f t="shared" si="5"/>
        <v>45174</v>
      </c>
      <c r="D180" s="29">
        <v>63.339999999999996</v>
      </c>
      <c r="E180" s="29">
        <v>2.2999999999999998</v>
      </c>
      <c r="F180" s="29">
        <v>23.7</v>
      </c>
      <c r="G180" s="29">
        <v>19.339999999999996</v>
      </c>
      <c r="H180" s="29">
        <v>131</v>
      </c>
    </row>
    <row r="181" spans="1:8" ht="15.75" customHeight="1" x14ac:dyDescent="0.5">
      <c r="A181" s="27">
        <v>180</v>
      </c>
      <c r="B181" s="27">
        <f t="shared" si="4"/>
        <v>3</v>
      </c>
      <c r="C181" s="55">
        <f t="shared" si="5"/>
        <v>45175</v>
      </c>
      <c r="D181" s="29">
        <v>41.12</v>
      </c>
      <c r="E181" s="29">
        <v>10</v>
      </c>
      <c r="F181" s="29">
        <v>17.600000000000001</v>
      </c>
      <c r="G181" s="29">
        <v>14.519999999999998</v>
      </c>
      <c r="H181" s="29">
        <v>135</v>
      </c>
    </row>
    <row r="182" spans="1:8" ht="15.75" customHeight="1" x14ac:dyDescent="0.5">
      <c r="A182" s="27">
        <v>181</v>
      </c>
      <c r="B182" s="27">
        <f t="shared" si="4"/>
        <v>4</v>
      </c>
      <c r="C182" s="55">
        <f t="shared" si="5"/>
        <v>45176</v>
      </c>
      <c r="D182" s="29">
        <v>36.32</v>
      </c>
      <c r="E182" s="29">
        <v>2.6</v>
      </c>
      <c r="F182" s="29">
        <v>8.3000000000000007</v>
      </c>
      <c r="G182" s="29">
        <v>13.64</v>
      </c>
      <c r="H182" s="29">
        <v>108</v>
      </c>
    </row>
    <row r="183" spans="1:8" ht="15.75" customHeight="1" x14ac:dyDescent="0.5">
      <c r="A183" s="27">
        <v>182</v>
      </c>
      <c r="B183" s="27">
        <f t="shared" si="4"/>
        <v>5</v>
      </c>
      <c r="C183" s="55">
        <f t="shared" si="5"/>
        <v>45177</v>
      </c>
      <c r="D183" s="29">
        <v>52.7</v>
      </c>
      <c r="E183" s="29">
        <v>5.4</v>
      </c>
      <c r="F183" s="29">
        <v>27.4</v>
      </c>
      <c r="G183" s="29">
        <v>13.59</v>
      </c>
      <c r="H183" s="29">
        <v>124</v>
      </c>
    </row>
    <row r="184" spans="1:8" ht="15.75" customHeight="1" x14ac:dyDescent="0.5">
      <c r="A184" s="27">
        <v>183</v>
      </c>
      <c r="B184" s="27">
        <f t="shared" si="4"/>
        <v>6</v>
      </c>
      <c r="C184" s="55">
        <f t="shared" si="5"/>
        <v>45178</v>
      </c>
      <c r="D184" s="29">
        <v>18.240000000000002</v>
      </c>
      <c r="E184" s="29">
        <v>5.7</v>
      </c>
      <c r="F184" s="29">
        <v>29.7</v>
      </c>
      <c r="G184" s="29">
        <v>16.59</v>
      </c>
      <c r="H184" s="29">
        <v>105</v>
      </c>
    </row>
    <row r="185" spans="1:8" ht="15.75" customHeight="1" x14ac:dyDescent="0.5">
      <c r="A185" s="27">
        <v>184</v>
      </c>
      <c r="B185" s="27">
        <f t="shared" si="4"/>
        <v>7</v>
      </c>
      <c r="C185" s="55">
        <f t="shared" si="5"/>
        <v>45179</v>
      </c>
      <c r="D185" s="29">
        <v>65.52000000000001</v>
      </c>
      <c r="E185" s="29">
        <v>43</v>
      </c>
      <c r="F185" s="29">
        <v>71.8</v>
      </c>
      <c r="G185" s="29">
        <v>21.540000000000006</v>
      </c>
      <c r="H185" s="29">
        <v>272</v>
      </c>
    </row>
    <row r="186" spans="1:8" ht="15.75" customHeight="1" x14ac:dyDescent="0.5">
      <c r="A186" s="27">
        <v>185</v>
      </c>
      <c r="B186" s="27">
        <f t="shared" si="4"/>
        <v>1</v>
      </c>
      <c r="C186" s="55">
        <f t="shared" si="5"/>
        <v>45180</v>
      </c>
      <c r="D186" s="29">
        <v>58.760000000000005</v>
      </c>
      <c r="E186" s="29">
        <v>21.3</v>
      </c>
      <c r="F186" s="29">
        <v>30</v>
      </c>
      <c r="G186" s="29">
        <v>24.03</v>
      </c>
      <c r="H186" s="29">
        <v>188</v>
      </c>
    </row>
    <row r="187" spans="1:8" ht="15.75" customHeight="1" x14ac:dyDescent="0.5">
      <c r="A187" s="27">
        <v>186</v>
      </c>
      <c r="B187" s="27">
        <f t="shared" si="4"/>
        <v>2</v>
      </c>
      <c r="C187" s="55">
        <f t="shared" si="5"/>
        <v>45181</v>
      </c>
      <c r="D187" s="29">
        <v>46</v>
      </c>
      <c r="E187" s="29">
        <v>45.1</v>
      </c>
      <c r="F187" s="29">
        <v>19.600000000000001</v>
      </c>
      <c r="G187" s="29">
        <v>35.209999999999994</v>
      </c>
      <c r="H187" s="29">
        <v>228</v>
      </c>
    </row>
    <row r="188" spans="1:8" ht="15.75" customHeight="1" x14ac:dyDescent="0.5">
      <c r="A188" s="27">
        <v>187</v>
      </c>
      <c r="B188" s="27">
        <f t="shared" si="4"/>
        <v>3</v>
      </c>
      <c r="C188" s="55">
        <f t="shared" si="5"/>
        <v>45182</v>
      </c>
      <c r="D188" s="29">
        <v>35.9</v>
      </c>
      <c r="E188" s="29">
        <v>2.1</v>
      </c>
      <c r="F188" s="29">
        <v>26.6</v>
      </c>
      <c r="G188" s="29">
        <v>4.3599999999999994</v>
      </c>
      <c r="H188" s="29">
        <v>108</v>
      </c>
    </row>
    <row r="189" spans="1:8" ht="15.75" customHeight="1" x14ac:dyDescent="0.5">
      <c r="A189" s="27">
        <v>188</v>
      </c>
      <c r="B189" s="27">
        <f t="shared" si="4"/>
        <v>4</v>
      </c>
      <c r="C189" s="55">
        <f t="shared" si="5"/>
        <v>45183</v>
      </c>
      <c r="D189" s="29">
        <v>41.22</v>
      </c>
      <c r="E189" s="29">
        <v>28.7</v>
      </c>
      <c r="F189" s="29">
        <v>18.2</v>
      </c>
      <c r="G189" s="29">
        <v>26.18</v>
      </c>
      <c r="H189" s="29">
        <v>186</v>
      </c>
    </row>
    <row r="190" spans="1:8" ht="15.75" customHeight="1" x14ac:dyDescent="0.5">
      <c r="A190" s="27">
        <v>189</v>
      </c>
      <c r="B190" s="27">
        <f t="shared" si="4"/>
        <v>5</v>
      </c>
      <c r="C190" s="55">
        <f t="shared" si="5"/>
        <v>45184</v>
      </c>
      <c r="D190" s="29">
        <v>59.2</v>
      </c>
      <c r="E190" s="29">
        <v>13.9</v>
      </c>
      <c r="F190" s="29">
        <v>3.7</v>
      </c>
      <c r="G190" s="29">
        <v>34.070000000000007</v>
      </c>
      <c r="H190" s="29">
        <v>167</v>
      </c>
    </row>
    <row r="191" spans="1:8" ht="15.75" customHeight="1" x14ac:dyDescent="0.5">
      <c r="A191" s="27">
        <v>190</v>
      </c>
      <c r="B191" s="27">
        <f t="shared" si="4"/>
        <v>6</v>
      </c>
      <c r="C191" s="55">
        <f t="shared" si="5"/>
        <v>45185</v>
      </c>
      <c r="D191" s="29">
        <v>6.74</v>
      </c>
      <c r="E191" s="29">
        <v>12.1</v>
      </c>
      <c r="F191" s="29">
        <v>23.4</v>
      </c>
      <c r="G191" s="29">
        <v>18.560000000000002</v>
      </c>
      <c r="H191" s="29">
        <v>83</v>
      </c>
    </row>
    <row r="192" spans="1:8" ht="15.75" customHeight="1" x14ac:dyDescent="0.5">
      <c r="A192" s="27">
        <v>191</v>
      </c>
      <c r="B192" s="27">
        <f t="shared" si="4"/>
        <v>7</v>
      </c>
      <c r="C192" s="55">
        <f t="shared" si="5"/>
        <v>45186</v>
      </c>
      <c r="D192" s="29">
        <v>15.9</v>
      </c>
      <c r="E192" s="29">
        <v>41.1</v>
      </c>
      <c r="F192" s="29">
        <v>5.8</v>
      </c>
      <c r="G192" s="29">
        <v>22.18</v>
      </c>
      <c r="H192" s="29">
        <v>114</v>
      </c>
    </row>
    <row r="193" spans="1:8" ht="15.75" customHeight="1" x14ac:dyDescent="0.5">
      <c r="A193" s="27">
        <v>192</v>
      </c>
      <c r="B193" s="27">
        <f t="shared" si="4"/>
        <v>1</v>
      </c>
      <c r="C193" s="55">
        <f t="shared" si="5"/>
        <v>45187</v>
      </c>
      <c r="D193" s="29">
        <v>21.1</v>
      </c>
      <c r="E193" s="29">
        <v>10.8</v>
      </c>
      <c r="F193" s="29">
        <v>6</v>
      </c>
      <c r="G193" s="29">
        <v>10.549999999999999</v>
      </c>
      <c r="H193" s="29">
        <v>116</v>
      </c>
    </row>
    <row r="194" spans="1:8" ht="15.75" customHeight="1" x14ac:dyDescent="0.5">
      <c r="A194" s="27">
        <v>193</v>
      </c>
      <c r="B194" s="27">
        <f t="shared" ref="B194:B201" si="6">WEEKDAY(C194,2)</f>
        <v>2</v>
      </c>
      <c r="C194" s="55">
        <f t="shared" ref="C194:C200" si="7">+C195-1</f>
        <v>45188</v>
      </c>
      <c r="D194" s="29">
        <v>12.44</v>
      </c>
      <c r="E194" s="29">
        <v>4.0999999999999996</v>
      </c>
      <c r="F194" s="29">
        <v>31.6</v>
      </c>
      <c r="G194" s="29">
        <v>11.129999999999999</v>
      </c>
      <c r="H194" s="29">
        <v>62</v>
      </c>
    </row>
    <row r="195" spans="1:8" ht="15.75" customHeight="1" x14ac:dyDescent="0.5">
      <c r="A195" s="27">
        <v>194</v>
      </c>
      <c r="B195" s="27">
        <f t="shared" si="6"/>
        <v>3</v>
      </c>
      <c r="C195" s="55">
        <f t="shared" si="7"/>
        <v>45189</v>
      </c>
      <c r="D195" s="29">
        <v>41.36</v>
      </c>
      <c r="E195" s="29">
        <v>42</v>
      </c>
      <c r="F195" s="29">
        <v>3.6</v>
      </c>
      <c r="G195" s="29">
        <v>36.24</v>
      </c>
      <c r="H195" s="29">
        <v>204</v>
      </c>
    </row>
    <row r="196" spans="1:8" ht="15.75" customHeight="1" x14ac:dyDescent="0.5">
      <c r="A196" s="27">
        <v>195</v>
      </c>
      <c r="B196" s="27">
        <f t="shared" si="6"/>
        <v>4</v>
      </c>
      <c r="C196" s="55">
        <f t="shared" si="7"/>
        <v>45190</v>
      </c>
      <c r="D196" s="29">
        <v>32.94</v>
      </c>
      <c r="E196" s="29">
        <v>35.6</v>
      </c>
      <c r="F196" s="29">
        <v>6</v>
      </c>
      <c r="G196" s="29">
        <v>17.100000000000001</v>
      </c>
      <c r="H196" s="29">
        <v>184</v>
      </c>
    </row>
    <row r="197" spans="1:8" ht="15.75" customHeight="1" x14ac:dyDescent="0.5">
      <c r="A197" s="27">
        <v>196</v>
      </c>
      <c r="B197" s="27">
        <f t="shared" si="6"/>
        <v>5</v>
      </c>
      <c r="C197" s="55">
        <f t="shared" si="7"/>
        <v>45191</v>
      </c>
      <c r="D197" s="29">
        <v>14.64</v>
      </c>
      <c r="E197" s="29">
        <v>3.7</v>
      </c>
      <c r="F197" s="29">
        <v>13.8</v>
      </c>
      <c r="G197" s="29">
        <v>0.14999999999999947</v>
      </c>
      <c r="H197" s="29">
        <v>91</v>
      </c>
    </row>
    <row r="198" spans="1:8" ht="15.75" customHeight="1" x14ac:dyDescent="0.5">
      <c r="A198" s="27">
        <v>197</v>
      </c>
      <c r="B198" s="27">
        <f t="shared" si="6"/>
        <v>6</v>
      </c>
      <c r="C198" s="55">
        <f t="shared" si="7"/>
        <v>45192</v>
      </c>
      <c r="D198" s="29">
        <v>27.84</v>
      </c>
      <c r="E198" s="29">
        <v>4.9000000000000004</v>
      </c>
      <c r="F198" s="29">
        <v>8.1</v>
      </c>
      <c r="G198" s="29">
        <v>8.6300000000000008</v>
      </c>
      <c r="H198" s="29">
        <v>116</v>
      </c>
    </row>
    <row r="199" spans="1:8" ht="15.75" customHeight="1" x14ac:dyDescent="0.5">
      <c r="A199" s="27">
        <v>198</v>
      </c>
      <c r="B199" s="27">
        <f t="shared" si="6"/>
        <v>7</v>
      </c>
      <c r="C199" s="55">
        <f t="shared" si="7"/>
        <v>45193</v>
      </c>
      <c r="D199" s="29">
        <v>44.4</v>
      </c>
      <c r="E199" s="29">
        <v>9.3000000000000007</v>
      </c>
      <c r="F199" s="29">
        <v>6.4</v>
      </c>
      <c r="G199" s="29">
        <v>19.79</v>
      </c>
      <c r="H199" s="29">
        <v>139</v>
      </c>
    </row>
    <row r="200" spans="1:8" ht="15.75" customHeight="1" x14ac:dyDescent="0.5">
      <c r="A200" s="27">
        <v>199</v>
      </c>
      <c r="B200" s="27">
        <f t="shared" si="6"/>
        <v>1</v>
      </c>
      <c r="C200" s="55">
        <f t="shared" si="7"/>
        <v>45194</v>
      </c>
      <c r="D200" s="29">
        <v>57.720000000000006</v>
      </c>
      <c r="E200" s="29">
        <v>42</v>
      </c>
      <c r="F200" s="29">
        <v>66.2</v>
      </c>
      <c r="G200" s="29">
        <v>22.879999999999995</v>
      </c>
      <c r="H200" s="29">
        <v>235.5</v>
      </c>
    </row>
    <row r="201" spans="1:8" ht="15.75" customHeight="1" x14ac:dyDescent="0.5">
      <c r="A201" s="27">
        <v>200</v>
      </c>
      <c r="B201" s="27">
        <f t="shared" si="6"/>
        <v>2</v>
      </c>
      <c r="C201" s="55">
        <v>45195</v>
      </c>
      <c r="D201" s="29">
        <v>52.42</v>
      </c>
      <c r="E201" s="29">
        <v>8.6</v>
      </c>
      <c r="F201" s="29">
        <v>8.6999999999999993</v>
      </c>
      <c r="G201" s="29">
        <v>1</v>
      </c>
      <c r="H201" s="29">
        <v>139</v>
      </c>
    </row>
    <row r="202" spans="1:8" ht="15.75" customHeight="1" x14ac:dyDescent="0.5"/>
    <row r="203" spans="1:8" ht="15.75" customHeight="1" x14ac:dyDescent="0.5"/>
    <row r="204" spans="1:8" ht="15.75" customHeight="1" x14ac:dyDescent="0.5"/>
    <row r="205" spans="1:8" ht="15.75" customHeight="1" x14ac:dyDescent="0.5"/>
    <row r="206" spans="1:8" ht="15.75" customHeight="1" x14ac:dyDescent="0.5"/>
    <row r="207" spans="1:8" ht="15.75" customHeight="1" x14ac:dyDescent="0.5"/>
    <row r="208" spans="1:8" ht="15.75" customHeight="1" x14ac:dyDescent="0.5"/>
    <row r="209" ht="15.75" customHeight="1" x14ac:dyDescent="0.5"/>
    <row r="210" ht="15.75" customHeight="1" x14ac:dyDescent="0.5"/>
    <row r="211" ht="15.75" customHeight="1" x14ac:dyDescent="0.5"/>
    <row r="212" ht="15.75" customHeight="1" x14ac:dyDescent="0.5"/>
    <row r="213" ht="15.75" customHeight="1" x14ac:dyDescent="0.5"/>
    <row r="214" ht="15.75" customHeight="1" x14ac:dyDescent="0.5"/>
    <row r="215" ht="15.75" customHeight="1" x14ac:dyDescent="0.5"/>
    <row r="216" ht="15.75" customHeight="1" x14ac:dyDescent="0.5"/>
    <row r="217" ht="15.75" customHeight="1" x14ac:dyDescent="0.5"/>
    <row r="218" ht="15.75" customHeight="1" x14ac:dyDescent="0.5"/>
    <row r="219" ht="15.75" customHeight="1" x14ac:dyDescent="0.5"/>
    <row r="220" ht="15.75" customHeight="1" x14ac:dyDescent="0.5"/>
    <row r="221" ht="15.75" customHeight="1" x14ac:dyDescent="0.5"/>
    <row r="222" ht="15.75" customHeight="1" x14ac:dyDescent="0.5"/>
    <row r="223" ht="15.75" customHeight="1" x14ac:dyDescent="0.5"/>
    <row r="224" ht="15.75" customHeight="1" x14ac:dyDescent="0.5"/>
    <row r="225" ht="15.75" customHeight="1" x14ac:dyDescent="0.5"/>
    <row r="226" ht="15.75" customHeight="1" x14ac:dyDescent="0.5"/>
    <row r="227" ht="15.75" customHeight="1" x14ac:dyDescent="0.5"/>
    <row r="228" ht="15.75" customHeight="1" x14ac:dyDescent="0.5"/>
    <row r="229" ht="15.75" customHeight="1" x14ac:dyDescent="0.5"/>
    <row r="230" ht="15.75" customHeight="1" x14ac:dyDescent="0.5"/>
    <row r="231" ht="15.75" customHeight="1" x14ac:dyDescent="0.5"/>
    <row r="232" ht="15.75" customHeight="1" x14ac:dyDescent="0.5"/>
    <row r="233" ht="15.75" customHeight="1" x14ac:dyDescent="0.5"/>
    <row r="234" ht="15.75" customHeight="1" x14ac:dyDescent="0.5"/>
    <row r="235" ht="15.75" customHeight="1" x14ac:dyDescent="0.5"/>
    <row r="236" ht="15.75" customHeight="1" x14ac:dyDescent="0.5"/>
    <row r="237" ht="15.75" customHeight="1" x14ac:dyDescent="0.5"/>
    <row r="238" ht="15.75" customHeight="1" x14ac:dyDescent="0.5"/>
    <row r="239" ht="15.75" customHeight="1" x14ac:dyDescent="0.5"/>
    <row r="240" ht="15.75" customHeight="1" x14ac:dyDescent="0.5"/>
    <row r="241" ht="15.75" customHeight="1" x14ac:dyDescent="0.5"/>
    <row r="242" ht="15.75" customHeight="1" x14ac:dyDescent="0.5"/>
    <row r="243" ht="15.75" customHeight="1" x14ac:dyDescent="0.5"/>
    <row r="244" ht="15.75" customHeight="1" x14ac:dyDescent="0.5"/>
    <row r="245" ht="15.75" customHeight="1" x14ac:dyDescent="0.5"/>
    <row r="246" ht="15.75" customHeight="1" x14ac:dyDescent="0.5"/>
    <row r="247" ht="15.75" customHeight="1" x14ac:dyDescent="0.5"/>
    <row r="248" ht="15.75" customHeight="1" x14ac:dyDescent="0.5"/>
    <row r="249" ht="15.75" customHeight="1" x14ac:dyDescent="0.5"/>
    <row r="250" ht="15.75" customHeight="1" x14ac:dyDescent="0.5"/>
    <row r="251" ht="15.75" customHeight="1" x14ac:dyDescent="0.5"/>
    <row r="252" ht="15.75" customHeight="1" x14ac:dyDescent="0.5"/>
    <row r="253" ht="15.75" customHeight="1" x14ac:dyDescent="0.5"/>
    <row r="254" ht="15.75" customHeight="1" x14ac:dyDescent="0.5"/>
    <row r="255" ht="15.75" customHeight="1" x14ac:dyDescent="0.5"/>
    <row r="256" ht="15.75" customHeight="1" x14ac:dyDescent="0.5"/>
    <row r="257" ht="15.75" customHeight="1" x14ac:dyDescent="0.5"/>
    <row r="258" ht="15.75" customHeight="1" x14ac:dyDescent="0.5"/>
    <row r="259" ht="15.75" customHeight="1" x14ac:dyDescent="0.5"/>
    <row r="260" ht="15.75" customHeight="1" x14ac:dyDescent="0.5"/>
    <row r="261" ht="15.75" customHeight="1" x14ac:dyDescent="0.5"/>
    <row r="262" ht="15.75" customHeight="1" x14ac:dyDescent="0.5"/>
    <row r="263" ht="15.75" customHeight="1" x14ac:dyDescent="0.5"/>
    <row r="264" ht="15.75" customHeight="1" x14ac:dyDescent="0.5"/>
    <row r="265" ht="15.75" customHeight="1" x14ac:dyDescent="0.5"/>
    <row r="266" ht="15.75" customHeight="1" x14ac:dyDescent="0.5"/>
    <row r="267" ht="15.75" customHeight="1" x14ac:dyDescent="0.5"/>
    <row r="268" ht="15.75" customHeight="1" x14ac:dyDescent="0.5"/>
    <row r="269" ht="15.75" customHeight="1" x14ac:dyDescent="0.5"/>
    <row r="270" ht="15.75" customHeight="1" x14ac:dyDescent="0.5"/>
    <row r="271" ht="15.75" customHeight="1" x14ac:dyDescent="0.5"/>
    <row r="272" ht="15.75" customHeight="1" x14ac:dyDescent="0.5"/>
    <row r="273" ht="15.75" customHeight="1" x14ac:dyDescent="0.5"/>
    <row r="274" ht="15.75" customHeight="1" x14ac:dyDescent="0.5"/>
    <row r="275" ht="15.75" customHeight="1" x14ac:dyDescent="0.5"/>
    <row r="276" ht="15.75" customHeight="1" x14ac:dyDescent="0.5"/>
    <row r="277" ht="15.75" customHeight="1" x14ac:dyDescent="0.5"/>
    <row r="278" ht="15.75" customHeight="1" x14ac:dyDescent="0.5"/>
    <row r="279" ht="15.75" customHeight="1" x14ac:dyDescent="0.5"/>
    <row r="280" ht="15.75" customHeight="1" x14ac:dyDescent="0.5"/>
    <row r="281" ht="15.75" customHeight="1" x14ac:dyDescent="0.5"/>
    <row r="282" ht="15.75" customHeight="1" x14ac:dyDescent="0.5"/>
    <row r="283" ht="15.75" customHeight="1" x14ac:dyDescent="0.5"/>
    <row r="284" ht="15.75" customHeight="1" x14ac:dyDescent="0.5"/>
    <row r="285" ht="15.75" customHeight="1" x14ac:dyDescent="0.5"/>
    <row r="286" ht="15.75" customHeight="1" x14ac:dyDescent="0.5"/>
    <row r="287" ht="15.75" customHeight="1" x14ac:dyDescent="0.5"/>
    <row r="288" ht="15.75" customHeight="1" x14ac:dyDescent="0.5"/>
    <row r="289" ht="15.75" customHeight="1" x14ac:dyDescent="0.5"/>
    <row r="290" ht="15.75" customHeight="1" x14ac:dyDescent="0.5"/>
    <row r="291" ht="15.75" customHeight="1" x14ac:dyDescent="0.5"/>
    <row r="292" ht="15.75" customHeight="1" x14ac:dyDescent="0.5"/>
    <row r="293" ht="15.75" customHeight="1" x14ac:dyDescent="0.5"/>
    <row r="294" ht="15.75" customHeight="1" x14ac:dyDescent="0.5"/>
    <row r="295" ht="15.75" customHeight="1" x14ac:dyDescent="0.5"/>
    <row r="296" ht="15.75" customHeight="1" x14ac:dyDescent="0.5"/>
    <row r="297" ht="15.75" customHeight="1" x14ac:dyDescent="0.5"/>
    <row r="298" ht="15.75" customHeight="1" x14ac:dyDescent="0.5"/>
    <row r="299" ht="15.75" customHeight="1" x14ac:dyDescent="0.5"/>
    <row r="300" ht="15.75" customHeight="1" x14ac:dyDescent="0.5"/>
    <row r="301" ht="15.75" customHeight="1" x14ac:dyDescent="0.5"/>
    <row r="302" ht="15.75" customHeight="1" x14ac:dyDescent="0.5"/>
    <row r="303" ht="15.75" customHeight="1" x14ac:dyDescent="0.5"/>
    <row r="304" ht="15.75" customHeight="1" x14ac:dyDescent="0.5"/>
    <row r="305" ht="15.75" customHeight="1" x14ac:dyDescent="0.5"/>
    <row r="306" ht="15.75" customHeight="1" x14ac:dyDescent="0.5"/>
    <row r="307" ht="15.75" customHeight="1" x14ac:dyDescent="0.5"/>
    <row r="308" ht="15.75" customHeight="1" x14ac:dyDescent="0.5"/>
    <row r="309" ht="15.75" customHeight="1" x14ac:dyDescent="0.5"/>
    <row r="310" ht="15.75" customHeight="1" x14ac:dyDescent="0.5"/>
    <row r="311" ht="15.75" customHeight="1" x14ac:dyDescent="0.5"/>
    <row r="312" ht="15.75" customHeight="1" x14ac:dyDescent="0.5"/>
    <row r="313" ht="15.75" customHeight="1" x14ac:dyDescent="0.5"/>
    <row r="314" ht="15.75" customHeight="1" x14ac:dyDescent="0.5"/>
    <row r="315" ht="15.75" customHeight="1" x14ac:dyDescent="0.5"/>
    <row r="316" ht="15.75" customHeight="1" x14ac:dyDescent="0.5"/>
    <row r="317" ht="15.75" customHeight="1" x14ac:dyDescent="0.5"/>
    <row r="318" ht="15.75" customHeight="1" x14ac:dyDescent="0.5"/>
    <row r="319" ht="15.75" customHeight="1" x14ac:dyDescent="0.5"/>
    <row r="320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autoFilter ref="A1:H1" xr:uid="{DC51644F-52B2-E24D-85DA-AFB8901C6F30}">
    <sortState xmlns:xlrd2="http://schemas.microsoft.com/office/spreadsheetml/2017/richdata2" ref="A2:H201">
      <sortCondition ref="A1:A201"/>
    </sortState>
  </autoFilter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DBDF-B0AF-A74D-86C2-EFCA3DE8C2A1}">
  <dimension ref="A1:Q32"/>
  <sheetViews>
    <sheetView showGridLines="0" zoomScale="65" zoomScaleNormal="170" workbookViewId="0">
      <selection activeCell="A32" sqref="A32"/>
    </sheetView>
  </sheetViews>
  <sheetFormatPr defaultColWidth="11" defaultRowHeight="15.75" x14ac:dyDescent="0.5"/>
  <cols>
    <col min="1" max="1" width="17.125" bestFit="1" customWidth="1"/>
    <col min="3" max="3" width="13.4375" bestFit="1" customWidth="1"/>
    <col min="4" max="4" width="12.1875" bestFit="1" customWidth="1"/>
    <col min="5" max="5" width="19.875" bestFit="1" customWidth="1"/>
    <col min="12" max="12" width="11" customWidth="1"/>
    <col min="15" max="15" width="10.625" customWidth="1"/>
  </cols>
  <sheetData>
    <row r="1" spans="1:16" x14ac:dyDescent="0.5">
      <c r="A1" t="s">
        <v>23</v>
      </c>
    </row>
    <row r="2" spans="1:16" ht="16.149999999999999" thickBot="1" x14ac:dyDescent="0.55000000000000004"/>
    <row r="3" spans="1:16" x14ac:dyDescent="0.5">
      <c r="A3" s="10" t="s">
        <v>24</v>
      </c>
      <c r="B3" s="10"/>
      <c r="L3" s="31"/>
      <c r="M3" s="31"/>
      <c r="N3" s="31"/>
      <c r="O3" s="31"/>
      <c r="P3" s="31"/>
    </row>
    <row r="4" spans="1:16" x14ac:dyDescent="0.5">
      <c r="A4" s="7" t="s">
        <v>25</v>
      </c>
      <c r="B4" s="7">
        <v>0.77771414820918516</v>
      </c>
      <c r="L4" s="32"/>
      <c r="M4" s="32"/>
      <c r="N4" s="32"/>
      <c r="O4" s="32"/>
      <c r="P4" s="32"/>
    </row>
    <row r="5" spans="1:16" x14ac:dyDescent="0.5">
      <c r="A5" s="7" t="s">
        <v>26</v>
      </c>
      <c r="B5" s="7">
        <v>0.60483929632473843</v>
      </c>
      <c r="L5" s="32"/>
      <c r="M5" s="32"/>
      <c r="N5" s="32"/>
      <c r="O5" s="32"/>
      <c r="P5" s="32"/>
    </row>
    <row r="6" spans="1:16" x14ac:dyDescent="0.5">
      <c r="A6" s="7" t="s">
        <v>27</v>
      </c>
      <c r="B6" s="7">
        <v>0.59673343573652793</v>
      </c>
      <c r="L6" s="32"/>
      <c r="M6" s="32"/>
      <c r="N6" s="32"/>
      <c r="O6" s="32"/>
      <c r="P6" s="32"/>
    </row>
    <row r="7" spans="1:16" x14ac:dyDescent="0.5">
      <c r="A7" s="7" t="s">
        <v>28</v>
      </c>
      <c r="B7" s="7">
        <v>33.596140102079168</v>
      </c>
      <c r="L7" s="32"/>
      <c r="M7" s="32"/>
      <c r="N7" s="32"/>
      <c r="O7" s="32"/>
      <c r="P7" s="32"/>
    </row>
    <row r="8" spans="1:16" ht="16.149999999999999" thickBot="1" x14ac:dyDescent="0.55000000000000004">
      <c r="A8" s="8" t="s">
        <v>29</v>
      </c>
      <c r="B8" s="8">
        <v>200</v>
      </c>
    </row>
    <row r="10" spans="1:16" ht="16.149999999999999" thickBot="1" x14ac:dyDescent="0.55000000000000004">
      <c r="A10" t="s">
        <v>30</v>
      </c>
    </row>
    <row r="11" spans="1:16" x14ac:dyDescent="0.5">
      <c r="A11" s="9"/>
      <c r="B11" s="9" t="s">
        <v>35</v>
      </c>
      <c r="C11" s="9" t="s">
        <v>36</v>
      </c>
      <c r="D11" s="9" t="s">
        <v>37</v>
      </c>
      <c r="E11" s="9" t="s">
        <v>38</v>
      </c>
      <c r="F11" s="9" t="s">
        <v>39</v>
      </c>
    </row>
    <row r="12" spans="1:16" x14ac:dyDescent="0.5">
      <c r="A12" s="7" t="s">
        <v>31</v>
      </c>
      <c r="B12" s="7">
        <v>4</v>
      </c>
      <c r="C12" s="7">
        <v>336883.41280251567</v>
      </c>
      <c r="D12" s="7">
        <v>84220.853200628917</v>
      </c>
      <c r="E12" s="7">
        <v>74.617530087359526</v>
      </c>
      <c r="F12" s="7">
        <v>2.9066179299475724E-38</v>
      </c>
    </row>
    <row r="13" spans="1:16" x14ac:dyDescent="0.5">
      <c r="A13" s="7" t="s">
        <v>32</v>
      </c>
      <c r="B13" s="7">
        <v>195</v>
      </c>
      <c r="C13" s="7">
        <v>220096.62280291377</v>
      </c>
      <c r="D13" s="7">
        <v>1128.7006297585322</v>
      </c>
      <c r="E13" s="7"/>
      <c r="F13" s="7"/>
    </row>
    <row r="14" spans="1:16" ht="16.149999999999999" thickBot="1" x14ac:dyDescent="0.55000000000000004">
      <c r="A14" s="8" t="s">
        <v>33</v>
      </c>
      <c r="B14" s="8">
        <v>199</v>
      </c>
      <c r="C14" s="8">
        <v>556980.03560542944</v>
      </c>
      <c r="D14" s="8"/>
      <c r="E14" s="8"/>
      <c r="F14" s="8"/>
    </row>
    <row r="15" spans="1:16" ht="16.149999999999999" thickBot="1" x14ac:dyDescent="0.55000000000000004"/>
    <row r="16" spans="1:16" x14ac:dyDescent="0.5">
      <c r="A16" s="9"/>
      <c r="B16" s="9" t="s">
        <v>40</v>
      </c>
      <c r="C16" s="9" t="s">
        <v>28</v>
      </c>
      <c r="D16" s="9" t="s">
        <v>41</v>
      </c>
      <c r="E16" s="9" t="s">
        <v>42</v>
      </c>
      <c r="F16" s="9" t="s">
        <v>43</v>
      </c>
      <c r="G16" s="9" t="s">
        <v>44</v>
      </c>
      <c r="H16" s="9" t="s">
        <v>45</v>
      </c>
      <c r="I16" s="9" t="s">
        <v>46</v>
      </c>
      <c r="L16" s="7"/>
      <c r="M16" s="7"/>
    </row>
    <row r="17" spans="1:17" x14ac:dyDescent="0.5">
      <c r="A17" s="7" t="s">
        <v>34</v>
      </c>
      <c r="B17" s="7">
        <v>46.12390184917767</v>
      </c>
      <c r="C17" s="7">
        <v>7.2049810755637242</v>
      </c>
      <c r="D17" s="7">
        <v>6.4016687018943896</v>
      </c>
      <c r="E17" s="7">
        <v>1.1204263399809811E-9</v>
      </c>
      <c r="F17" s="7">
        <v>31.914208982638407</v>
      </c>
      <c r="G17" s="7">
        <v>60.333594715716934</v>
      </c>
      <c r="H17" s="7">
        <v>31.914208982638407</v>
      </c>
      <c r="I17" s="7">
        <v>60.333594715716934</v>
      </c>
      <c r="L17" s="7"/>
      <c r="M17" s="7"/>
    </row>
    <row r="18" spans="1:17" x14ac:dyDescent="0.5">
      <c r="A18" s="7" t="s">
        <v>12</v>
      </c>
      <c r="B18" s="7">
        <v>1.430827385754045</v>
      </c>
      <c r="C18" s="7">
        <v>0.14395525999977141</v>
      </c>
      <c r="D18" s="7">
        <v>9.9393894030431191</v>
      </c>
      <c r="E18" s="7">
        <v>4.2986565961654864E-19</v>
      </c>
      <c r="F18" s="7">
        <v>1.1469182387810934</v>
      </c>
      <c r="G18" s="7">
        <v>1.7147365327269966</v>
      </c>
      <c r="H18" s="7">
        <v>1.1469182387810934</v>
      </c>
      <c r="I18" s="7">
        <v>1.7147365327269966</v>
      </c>
      <c r="L18" s="7"/>
      <c r="M18" s="7"/>
    </row>
    <row r="19" spans="1:17" x14ac:dyDescent="0.5">
      <c r="A19" s="7" t="s">
        <v>13</v>
      </c>
      <c r="B19" s="7">
        <v>1.3678743456141678</v>
      </c>
      <c r="C19" s="7">
        <v>0.18877262003899664</v>
      </c>
      <c r="D19" s="7">
        <v>7.2461480130518519</v>
      </c>
      <c r="E19" s="7">
        <v>9.7469354506524147E-12</v>
      </c>
      <c r="F19" s="7">
        <v>0.99557621960469955</v>
      </c>
      <c r="G19" s="7">
        <v>1.740172471623636</v>
      </c>
      <c r="H19" s="7">
        <v>0.99557621960469955</v>
      </c>
      <c r="I19" s="7">
        <v>1.740172471623636</v>
      </c>
      <c r="L19" s="7"/>
      <c r="M19" s="7"/>
    </row>
    <row r="20" spans="1:17" x14ac:dyDescent="0.5">
      <c r="A20" s="7" t="s">
        <v>14</v>
      </c>
      <c r="B20" s="7">
        <v>0.24470861170542516</v>
      </c>
      <c r="C20" s="7">
        <v>0.14135090430840938</v>
      </c>
      <c r="D20" s="7">
        <v>1.7312136268438909</v>
      </c>
      <c r="E20" s="7">
        <v>8.4995353875357241E-2</v>
      </c>
      <c r="F20" s="7">
        <v>-3.4064214422078271E-2</v>
      </c>
      <c r="G20" s="7">
        <v>0.52348143783292855</v>
      </c>
      <c r="H20" s="7">
        <v>-3.4064214422078271E-2</v>
      </c>
      <c r="I20" s="7">
        <v>0.52348143783292855</v>
      </c>
    </row>
    <row r="21" spans="1:17" ht="16.149999999999999" thickBot="1" x14ac:dyDescent="0.55000000000000004">
      <c r="A21" s="8" t="s">
        <v>15</v>
      </c>
      <c r="B21" s="8">
        <v>0.6855684088428724</v>
      </c>
      <c r="C21" s="8">
        <v>0.33228450979302127</v>
      </c>
      <c r="D21" s="8">
        <v>2.0631970153225327</v>
      </c>
      <c r="E21" s="8">
        <v>4.0418709411545316E-2</v>
      </c>
      <c r="F21" s="8">
        <v>3.0235552455326276E-2</v>
      </c>
      <c r="G21" s="8">
        <v>1.3409012652304186</v>
      </c>
      <c r="H21" s="8">
        <v>3.0235552455326276E-2</v>
      </c>
      <c r="I21" s="8">
        <v>1.3409012652304186</v>
      </c>
      <c r="O21" s="3"/>
      <c r="P21" s="3"/>
      <c r="Q21" s="3"/>
    </row>
    <row r="24" spans="1:17" ht="24" customHeight="1" x14ac:dyDescent="0.5"/>
    <row r="25" spans="1:17" ht="30.4" customHeight="1" x14ac:dyDescent="0.5">
      <c r="A25" s="129" t="s">
        <v>108</v>
      </c>
      <c r="B25" s="129"/>
      <c r="C25" s="129"/>
      <c r="D25" s="129"/>
      <c r="E25" s="129"/>
    </row>
    <row r="26" spans="1:17" ht="31.5" x14ac:dyDescent="0.5">
      <c r="A26" s="84" t="s">
        <v>50</v>
      </c>
      <c r="B26" s="84" t="s">
        <v>40</v>
      </c>
      <c r="C26" s="84" t="s">
        <v>75</v>
      </c>
      <c r="D26" s="84" t="s">
        <v>76</v>
      </c>
      <c r="E26" s="84" t="s">
        <v>77</v>
      </c>
    </row>
    <row r="27" spans="1:17" ht="27.4" customHeight="1" x14ac:dyDescent="0.5">
      <c r="A27" s="85" t="s">
        <v>34</v>
      </c>
      <c r="B27" s="86">
        <v>46.12390184917767</v>
      </c>
      <c r="C27" s="87"/>
      <c r="D27" s="87"/>
      <c r="E27" s="87"/>
    </row>
    <row r="28" spans="1:17" ht="27.4" customHeight="1" x14ac:dyDescent="0.5">
      <c r="A28" s="85" t="s">
        <v>12</v>
      </c>
      <c r="B28" s="86">
        <v>1.430827385754045</v>
      </c>
      <c r="C28" s="90">
        <v>40</v>
      </c>
      <c r="D28" s="90">
        <f>B28*C28+$B$27</f>
        <v>103.35699727933947</v>
      </c>
      <c r="E28" s="88" t="s">
        <v>78</v>
      </c>
    </row>
    <row r="29" spans="1:17" ht="27.4" customHeight="1" x14ac:dyDescent="0.5">
      <c r="A29" s="85" t="s">
        <v>13</v>
      </c>
      <c r="B29" s="86">
        <v>1.3678743456141678</v>
      </c>
      <c r="C29" s="90">
        <v>35</v>
      </c>
      <c r="D29" s="90">
        <f>B29*C29+$B$27</f>
        <v>93.999503945673553</v>
      </c>
      <c r="E29" s="88" t="s">
        <v>79</v>
      </c>
    </row>
    <row r="30" spans="1:17" ht="27.4" customHeight="1" x14ac:dyDescent="0.5">
      <c r="A30" s="85" t="s">
        <v>14</v>
      </c>
      <c r="B30" s="86">
        <v>0.24470861170542516</v>
      </c>
      <c r="C30" s="90">
        <v>15</v>
      </c>
      <c r="D30" s="90">
        <f>B30*C30+$B$27</f>
        <v>49.794531024759046</v>
      </c>
      <c r="E30" s="88" t="s">
        <v>80</v>
      </c>
    </row>
    <row r="31" spans="1:17" ht="27.4" customHeight="1" x14ac:dyDescent="0.5">
      <c r="A31" s="85" t="s">
        <v>15</v>
      </c>
      <c r="B31" s="86">
        <v>0.6855684088428724</v>
      </c>
      <c r="C31" s="90">
        <v>10</v>
      </c>
      <c r="D31" s="90">
        <f>B31*C31+$B$27</f>
        <v>52.979585937606394</v>
      </c>
      <c r="E31" s="88" t="s">
        <v>81</v>
      </c>
    </row>
    <row r="32" spans="1:17" ht="25.5" customHeight="1" x14ac:dyDescent="0.5">
      <c r="A32" s="89" t="s">
        <v>82</v>
      </c>
      <c r="B32" s="85"/>
      <c r="C32" s="85"/>
      <c r="D32" s="91">
        <f>SUM(D28:D31)</f>
        <v>300.13061818737845</v>
      </c>
      <c r="E32" s="85"/>
    </row>
  </sheetData>
  <mergeCells count="1">
    <mergeCell ref="A25:E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1EEF-B633-4F7A-9BC4-667460CDCF10}">
  <dimension ref="A1:R49"/>
  <sheetViews>
    <sheetView showGridLines="0" tabSelected="1" topLeftCell="A5" zoomScale="79" zoomScaleNormal="101" workbookViewId="0">
      <selection activeCell="B33" sqref="B33"/>
    </sheetView>
  </sheetViews>
  <sheetFormatPr defaultColWidth="11" defaultRowHeight="15.75" x14ac:dyDescent="0.5"/>
  <cols>
    <col min="1" max="1" width="29.625" bestFit="1" customWidth="1"/>
    <col min="2" max="2" width="13.25" bestFit="1" customWidth="1"/>
    <col min="3" max="3" width="22.6875" bestFit="1" customWidth="1"/>
    <col min="4" max="4" width="20" customWidth="1"/>
    <col min="6" max="6" width="14.5" bestFit="1" customWidth="1"/>
  </cols>
  <sheetData>
    <row r="1" spans="1:4" ht="15.75" customHeight="1" x14ac:dyDescent="0.5">
      <c r="A1" s="132" t="s">
        <v>107</v>
      </c>
      <c r="B1" s="133"/>
      <c r="C1" s="132" t="s">
        <v>6</v>
      </c>
      <c r="D1" s="133"/>
    </row>
    <row r="2" spans="1:4" ht="15.75" customHeight="1" x14ac:dyDescent="0.5">
      <c r="A2" s="134"/>
      <c r="B2" s="135"/>
      <c r="C2" s="134"/>
      <c r="D2" s="135"/>
    </row>
    <row r="3" spans="1:4" x14ac:dyDescent="0.5">
      <c r="A3" s="136" t="s">
        <v>7</v>
      </c>
      <c r="B3" s="137"/>
      <c r="C3" s="140">
        <v>0.42</v>
      </c>
      <c r="D3" s="141"/>
    </row>
    <row r="4" spans="1:4" x14ac:dyDescent="0.5">
      <c r="A4" s="136"/>
      <c r="B4" s="137"/>
      <c r="C4" s="140"/>
      <c r="D4" s="141"/>
    </row>
    <row r="5" spans="1:4" ht="16.149999999999999" thickBot="1" x14ac:dyDescent="0.55000000000000004">
      <c r="A5" s="138"/>
      <c r="B5" s="139"/>
      <c r="C5" s="142"/>
      <c r="D5" s="143"/>
    </row>
    <row r="6" spans="1:4" ht="16.149999999999999" thickBot="1" x14ac:dyDescent="0.55000000000000004"/>
    <row r="7" spans="1:4" ht="21" x14ac:dyDescent="0.5">
      <c r="A7" s="130" t="s">
        <v>91</v>
      </c>
      <c r="B7" s="146"/>
      <c r="C7" s="146"/>
      <c r="D7" s="147"/>
    </row>
    <row r="8" spans="1:4" ht="31.5" x14ac:dyDescent="0.5">
      <c r="A8" s="102" t="s">
        <v>83</v>
      </c>
      <c r="B8" s="100" t="s">
        <v>84</v>
      </c>
      <c r="C8" s="100" t="s">
        <v>85</v>
      </c>
      <c r="D8" s="103" t="s">
        <v>86</v>
      </c>
    </row>
    <row r="9" spans="1:4" x14ac:dyDescent="0.5">
      <c r="A9" s="104" t="s">
        <v>87</v>
      </c>
      <c r="B9" s="98">
        <v>1000</v>
      </c>
      <c r="C9" s="99">
        <v>1</v>
      </c>
      <c r="D9" s="105">
        <f>B9/B9</f>
        <v>1</v>
      </c>
    </row>
    <row r="10" spans="1:4" x14ac:dyDescent="0.5">
      <c r="A10" s="104" t="s">
        <v>88</v>
      </c>
      <c r="B10" s="98">
        <v>300</v>
      </c>
      <c r="C10" s="99">
        <f>B10/B9</f>
        <v>0.3</v>
      </c>
      <c r="D10" s="105">
        <f>B10/$B$9</f>
        <v>0.3</v>
      </c>
    </row>
    <row r="11" spans="1:4" x14ac:dyDescent="0.5">
      <c r="A11" s="104" t="s">
        <v>89</v>
      </c>
      <c r="B11" s="98">
        <v>240</v>
      </c>
      <c r="C11" s="99">
        <f>B11/B10</f>
        <v>0.8</v>
      </c>
      <c r="D11" s="105">
        <f t="shared" ref="D11:D12" si="0">B11/$B$9</f>
        <v>0.24</v>
      </c>
    </row>
    <row r="12" spans="1:4" ht="16.149999999999999" thickBot="1" x14ac:dyDescent="0.55000000000000004">
      <c r="A12" s="106" t="s">
        <v>90</v>
      </c>
      <c r="B12" s="107">
        <v>16</v>
      </c>
      <c r="C12" s="108">
        <f>B12/B11</f>
        <v>6.6666666666666666E-2</v>
      </c>
      <c r="D12" s="109">
        <f t="shared" si="0"/>
        <v>1.6E-2</v>
      </c>
    </row>
    <row r="13" spans="1:4" ht="16.149999999999999" thickBot="1" x14ac:dyDescent="0.55000000000000004"/>
    <row r="14" spans="1:4" ht="21" x14ac:dyDescent="0.5">
      <c r="A14" s="130" t="s">
        <v>92</v>
      </c>
      <c r="B14" s="148"/>
      <c r="C14" s="148"/>
      <c r="D14" s="131"/>
    </row>
    <row r="15" spans="1:4" x14ac:dyDescent="0.5">
      <c r="A15" s="102" t="s">
        <v>83</v>
      </c>
      <c r="B15" s="100" t="s">
        <v>93</v>
      </c>
      <c r="C15" s="100" t="s">
        <v>94</v>
      </c>
      <c r="D15" s="103" t="s">
        <v>95</v>
      </c>
    </row>
    <row r="16" spans="1:4" x14ac:dyDescent="0.5">
      <c r="A16" s="104" t="s">
        <v>87</v>
      </c>
      <c r="B16" s="101">
        <v>1000</v>
      </c>
      <c r="C16" s="98">
        <v>1000</v>
      </c>
      <c r="D16" s="110">
        <f>B16/C16</f>
        <v>1</v>
      </c>
    </row>
    <row r="17" spans="1:18" x14ac:dyDescent="0.5">
      <c r="A17" s="104" t="s">
        <v>88</v>
      </c>
      <c r="B17" s="101">
        <v>1000</v>
      </c>
      <c r="C17" s="98">
        <v>300</v>
      </c>
      <c r="D17" s="110">
        <f t="shared" ref="D17:D19" si="1">B17/C17</f>
        <v>3.3333333333333335</v>
      </c>
    </row>
    <row r="18" spans="1:18" x14ac:dyDescent="0.5">
      <c r="A18" s="104" t="s">
        <v>89</v>
      </c>
      <c r="B18" s="101">
        <v>1000</v>
      </c>
      <c r="C18" s="98">
        <v>240</v>
      </c>
      <c r="D18" s="110">
        <f t="shared" si="1"/>
        <v>4.166666666666667</v>
      </c>
    </row>
    <row r="19" spans="1:18" ht="16.149999999999999" thickBot="1" x14ac:dyDescent="0.55000000000000004">
      <c r="A19" s="106" t="s">
        <v>90</v>
      </c>
      <c r="B19" s="111">
        <v>1000</v>
      </c>
      <c r="C19" s="107">
        <v>16</v>
      </c>
      <c r="D19" s="112">
        <f t="shared" si="1"/>
        <v>62.5</v>
      </c>
    </row>
    <row r="20" spans="1:18" ht="16.149999999999999" thickBot="1" x14ac:dyDescent="0.55000000000000004">
      <c r="A20" s="92"/>
    </row>
    <row r="21" spans="1:18" ht="16.149999999999999" thickBot="1" x14ac:dyDescent="0.55000000000000004">
      <c r="A21" s="117" t="s">
        <v>106</v>
      </c>
      <c r="B21" s="118">
        <f>D19</f>
        <v>62.5</v>
      </c>
    </row>
    <row r="22" spans="1:18" ht="16.149999999999999" thickBot="1" x14ac:dyDescent="0.55000000000000004">
      <c r="A22" s="93"/>
    </row>
    <row r="23" spans="1:18" ht="21" x14ac:dyDescent="0.5">
      <c r="A23" s="130" t="s">
        <v>96</v>
      </c>
      <c r="B23" s="131"/>
      <c r="C23" s="94"/>
      <c r="D23" s="94"/>
    </row>
    <row r="24" spans="1:18" ht="15.75" customHeight="1" x14ac:dyDescent="0.5">
      <c r="A24" s="102" t="s">
        <v>97</v>
      </c>
      <c r="B24" s="103" t="s">
        <v>98</v>
      </c>
      <c r="C24" s="2"/>
      <c r="E24" s="95"/>
      <c r="F24" s="95"/>
      <c r="G24" s="95"/>
      <c r="H24" s="95"/>
      <c r="J24" s="95"/>
      <c r="K24" s="95"/>
      <c r="L24" s="95"/>
      <c r="M24" s="95"/>
      <c r="O24" s="144"/>
      <c r="P24" s="144"/>
      <c r="Q24" s="144"/>
      <c r="R24" s="144"/>
    </row>
    <row r="25" spans="1:18" ht="15.75" customHeight="1" x14ac:dyDescent="0.5">
      <c r="A25" s="104" t="s">
        <v>99</v>
      </c>
      <c r="B25" s="105">
        <f>1-C3</f>
        <v>0.58000000000000007</v>
      </c>
      <c r="C25" s="11"/>
      <c r="E25" s="95"/>
      <c r="F25" s="95"/>
      <c r="G25" s="95"/>
      <c r="H25" s="95"/>
      <c r="J25" s="95"/>
      <c r="K25" s="95"/>
      <c r="L25" s="95"/>
      <c r="M25" s="95"/>
      <c r="O25" s="144"/>
      <c r="P25" s="144"/>
      <c r="Q25" s="144"/>
      <c r="R25" s="144"/>
    </row>
    <row r="26" spans="1:18" ht="15.75" customHeight="1" x14ac:dyDescent="0.5">
      <c r="A26" s="104" t="s">
        <v>100</v>
      </c>
      <c r="B26" s="113">
        <f>1/B25</f>
        <v>1.7241379310344827</v>
      </c>
      <c r="C26" s="11"/>
      <c r="F26" s="1"/>
      <c r="G26" s="1"/>
      <c r="H26" s="1"/>
      <c r="K26" s="1"/>
      <c r="L26" s="1"/>
      <c r="M26" s="1"/>
      <c r="P26" s="1"/>
      <c r="Q26" s="1"/>
      <c r="R26" s="1"/>
    </row>
    <row r="27" spans="1:18" ht="15.75" customHeight="1" x14ac:dyDescent="0.5">
      <c r="A27" s="104" t="s">
        <v>101</v>
      </c>
      <c r="B27" s="113">
        <f>B26*12</f>
        <v>20.689655172413794</v>
      </c>
      <c r="C27" s="11"/>
      <c r="E27" s="97"/>
      <c r="F27" s="97"/>
      <c r="G27" s="97"/>
      <c r="H27" s="97"/>
      <c r="J27" s="96"/>
      <c r="K27" s="1"/>
      <c r="L27" s="1"/>
      <c r="M27" s="1"/>
      <c r="O27" s="145"/>
      <c r="P27" s="145"/>
      <c r="Q27" s="145"/>
      <c r="R27" s="145"/>
    </row>
    <row r="28" spans="1:18" ht="15.75" customHeight="1" x14ac:dyDescent="0.5">
      <c r="A28" s="104" t="s">
        <v>102</v>
      </c>
      <c r="B28" s="110">
        <v>15</v>
      </c>
      <c r="C28" s="11"/>
      <c r="E28" s="97"/>
      <c r="F28" s="97"/>
      <c r="G28" s="97"/>
      <c r="H28" s="97"/>
      <c r="J28" s="1"/>
      <c r="K28" s="1"/>
      <c r="L28" s="1"/>
      <c r="M28" s="1"/>
      <c r="O28" s="145"/>
      <c r="P28" s="145"/>
      <c r="Q28" s="145"/>
      <c r="R28" s="145"/>
    </row>
    <row r="29" spans="1:18" ht="15.75" customHeight="1" thickBot="1" x14ac:dyDescent="0.55000000000000004">
      <c r="A29" s="114" t="s">
        <v>47</v>
      </c>
      <c r="B29" s="115">
        <f>B28*B27</f>
        <v>310.34482758620692</v>
      </c>
      <c r="E29" s="97"/>
      <c r="F29" s="97"/>
      <c r="G29" s="97"/>
      <c r="H29" s="97"/>
      <c r="J29" s="1"/>
      <c r="K29" s="1"/>
      <c r="L29" s="1"/>
      <c r="M29" s="1"/>
      <c r="O29" s="145"/>
      <c r="P29" s="145"/>
      <c r="Q29" s="145"/>
      <c r="R29" s="145"/>
    </row>
    <row r="30" spans="1:18" ht="15.75" customHeight="1" thickBot="1" x14ac:dyDescent="0.55000000000000004">
      <c r="E30" s="97"/>
      <c r="F30" s="97"/>
      <c r="G30" s="97"/>
      <c r="H30" s="97"/>
      <c r="J30" s="1"/>
      <c r="K30" s="1"/>
      <c r="L30" s="1"/>
      <c r="M30" s="1"/>
      <c r="O30" s="145"/>
      <c r="P30" s="145"/>
      <c r="Q30" s="145"/>
      <c r="R30" s="145"/>
    </row>
    <row r="31" spans="1:18" ht="21" x14ac:dyDescent="0.5">
      <c r="A31" s="130" t="s">
        <v>103</v>
      </c>
      <c r="B31" s="131"/>
    </row>
    <row r="32" spans="1:18" ht="16.05" customHeight="1" x14ac:dyDescent="0.5">
      <c r="A32" s="102" t="s">
        <v>97</v>
      </c>
      <c r="B32" s="103" t="s">
        <v>98</v>
      </c>
      <c r="E32" s="1"/>
      <c r="F32" s="1"/>
      <c r="G32" s="1"/>
      <c r="H32" s="1"/>
    </row>
    <row r="33" spans="1:8" ht="16.05" customHeight="1" x14ac:dyDescent="0.5">
      <c r="A33" s="104" t="s">
        <v>104</v>
      </c>
      <c r="B33" s="116">
        <f>B29/B21</f>
        <v>4.9655172413793105</v>
      </c>
      <c r="E33" s="1"/>
      <c r="F33" s="1"/>
      <c r="G33" s="1"/>
      <c r="H33" s="1"/>
    </row>
    <row r="34" spans="1:8" ht="16.05" customHeight="1" thickBot="1" x14ac:dyDescent="0.55000000000000004">
      <c r="A34" s="121" t="s">
        <v>105</v>
      </c>
      <c r="B34" s="122" t="str">
        <f>IF(B33&gt;3,"✅ Feasible","Unfeasible")</f>
        <v>✅ Feasible</v>
      </c>
      <c r="E34" s="1"/>
      <c r="F34" s="1"/>
      <c r="G34" s="1"/>
      <c r="H34" s="1"/>
    </row>
    <row r="35" spans="1:8" x14ac:dyDescent="0.5">
      <c r="F35" s="3"/>
    </row>
    <row r="40" spans="1:8" x14ac:dyDescent="0.5">
      <c r="A40" s="30"/>
    </row>
    <row r="42" spans="1:8" x14ac:dyDescent="0.5">
      <c r="A42" s="31"/>
      <c r="B42" s="31"/>
      <c r="C42" s="31"/>
      <c r="D42" s="31"/>
      <c r="E42" s="31"/>
    </row>
    <row r="43" spans="1:8" x14ac:dyDescent="0.5">
      <c r="A43" s="32"/>
      <c r="B43" s="78"/>
      <c r="C43" s="78"/>
      <c r="D43" s="32"/>
      <c r="E43" s="32"/>
    </row>
    <row r="46" spans="1:8" x14ac:dyDescent="0.5">
      <c r="A46" s="30"/>
    </row>
    <row r="48" spans="1:8" x14ac:dyDescent="0.5">
      <c r="A48" s="31"/>
      <c r="B48" s="31"/>
      <c r="C48" s="31"/>
      <c r="D48" s="31"/>
      <c r="E48" s="31"/>
    </row>
    <row r="49" spans="1:5" x14ac:dyDescent="0.5">
      <c r="A49" s="79"/>
      <c r="B49" s="78"/>
      <c r="C49" s="78"/>
      <c r="D49" s="32"/>
      <c r="E49" s="32"/>
    </row>
  </sheetData>
  <mergeCells count="10">
    <mergeCell ref="O24:R25"/>
    <mergeCell ref="O27:R30"/>
    <mergeCell ref="A7:D7"/>
    <mergeCell ref="A14:D14"/>
    <mergeCell ref="A23:B23"/>
    <mergeCell ref="A31:B31"/>
    <mergeCell ref="A1:B2"/>
    <mergeCell ref="A3:B5"/>
    <mergeCell ref="C1:D2"/>
    <mergeCell ref="C3:D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DigitalAds_Original_Data</vt:lpstr>
      <vt:lpstr>01_Missing_Values</vt:lpstr>
      <vt:lpstr>02_Google_Sales_Corr</vt:lpstr>
      <vt:lpstr>03_Outlier_Analysis</vt:lpstr>
      <vt:lpstr>04_Cleaned_Data</vt:lpstr>
      <vt:lpstr>05_Regression_Plots</vt:lpstr>
      <vt:lpstr>06_Multiple_Regression</vt:lpstr>
      <vt:lpstr>07_CLTV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güliz samgar</cp:lastModifiedBy>
  <dcterms:created xsi:type="dcterms:W3CDTF">2020-10-13T01:54:16Z</dcterms:created>
  <dcterms:modified xsi:type="dcterms:W3CDTF">2025-08-10T09:35:41Z</dcterms:modified>
</cp:coreProperties>
</file>